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tables/table1.xml" ContentType="application/vnd.openxmlformats-officedocument.spreadsheetml.table+xml"/>
  <Override PartName="/xl/slicers/slicer1.xml" ContentType="application/vnd.ms-excel.slicer+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D:\Excel Assignments\"/>
    </mc:Choice>
  </mc:AlternateContent>
  <xr:revisionPtr revIDLastSave="0" documentId="13_ncr:1_{9E0B035C-F5B9-4C05-92FA-F8268A63BB81}" xr6:coauthVersionLast="47" xr6:coauthVersionMax="47" xr10:uidLastSave="{00000000-0000-0000-0000-000000000000}"/>
  <bookViews>
    <workbookView xWindow="-108" yWindow="-108" windowWidth="23256" windowHeight="12456" activeTab="7" xr2:uid="{0D59447A-D7AC-430C-81F1-3A2857DBC0D6}"/>
  </bookViews>
  <sheets>
    <sheet name="Q-1" sheetId="1" r:id="rId1"/>
    <sheet name="Q-2" sheetId="2" r:id="rId2"/>
    <sheet name="Q-3" sheetId="3" r:id="rId3"/>
    <sheet name="Q-4" sheetId="4" r:id="rId4"/>
    <sheet name="Q-5" sheetId="5" r:id="rId5"/>
    <sheet name="Q-6" sheetId="6" r:id="rId6"/>
    <sheet name="Q-7" sheetId="7" r:id="rId7"/>
    <sheet name="Q-8" sheetId="8" r:id="rId8"/>
    <sheet name="Q-9" sheetId="9" r:id="rId9"/>
    <sheet name="Q-10" sheetId="10" r:id="rId10"/>
  </sheets>
  <definedNames>
    <definedName name="_xlnm._FilterDatabase" localSheetId="9" hidden="1">'Q-10'!$A$6:$F$26</definedName>
    <definedName name="_xlnm._FilterDatabase" localSheetId="1" hidden="1">'Q-2'!$A$4:$F$24</definedName>
    <definedName name="_xlnm._FilterDatabase" localSheetId="3" hidden="1">'Q-4'!$H$8:$L$28</definedName>
    <definedName name="Slicer_Product">#N/A</definedName>
    <definedName name="Slicer_Product1">#N/A</definedName>
  </definedNames>
  <calcPr calcId="191029"/>
  <pivotCaches>
    <pivotCache cacheId="0" r:id="rId11"/>
    <pivotCache cacheId="1" r:id="rId12"/>
    <pivotCache cacheId="6" r:id="rId13"/>
    <pivotCache cacheId="4" r:id="rId14"/>
    <pivotCache cacheId="18" r:id="rId15"/>
    <pivotCache cacheId="32"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<sst xmlns="http://schemas.openxmlformats.org/spreadsheetml/2006/main" count="463" uniqueCount="68">
  <si>
    <t>What is the purpose of a PivotTable in Excel?</t>
  </si>
  <si>
    <t>Q-1</t>
  </si>
  <si>
    <t>Answer</t>
  </si>
  <si>
    <r>
      <t>A PivotTable is an interactive tool in Excel designed to </t>
    </r>
    <r>
      <rPr>
        <b/>
        <sz val="11"/>
        <color theme="1"/>
        <rFont val="Calibri"/>
        <family val="2"/>
        <scheme val="minor"/>
      </rPr>
      <t>summarize, analyze, explore, and present</t>
    </r>
    <r>
      <rPr>
        <sz val="11"/>
        <color theme="1"/>
        <rFont val="Calibri"/>
        <family val="2"/>
        <scheme val="minor"/>
      </rPr>
      <t> large amounts of data</t>
    </r>
    <r>
      <rPr>
        <sz val="10"/>
        <color theme="1"/>
        <rFont val="Arial"/>
        <family val="2"/>
      </rPr>
      <t>. It allows you to transform thousands of rows of raw data into concise, meaningful reports with just a few clicks</t>
    </r>
  </si>
  <si>
    <t>Q-2</t>
  </si>
  <si>
    <t>Create a PivotTable to show Total Sales by Region</t>
  </si>
  <si>
    <t>Date</t>
  </si>
  <si>
    <t>Region</t>
  </si>
  <si>
    <t>Product</t>
  </si>
  <si>
    <t>Sales</t>
  </si>
  <si>
    <t>Quantity</t>
  </si>
  <si>
    <t>West</t>
  </si>
  <si>
    <t>Mangoes</t>
  </si>
  <si>
    <t>South</t>
  </si>
  <si>
    <t>Oranges</t>
  </si>
  <si>
    <t>Apples</t>
  </si>
  <si>
    <t>East</t>
  </si>
  <si>
    <t>North</t>
  </si>
  <si>
    <t>Row Labels</t>
  </si>
  <si>
    <t>Grand Total</t>
  </si>
  <si>
    <t>Sum of Sales</t>
  </si>
  <si>
    <r>
      <t>Rows Area:</t>
    </r>
    <r>
      <rPr>
        <sz val="10"/>
        <color theme="1"/>
        <rFont val="Arial"/>
        <family val="2"/>
      </rPr>
      <t> Drag the </t>
    </r>
    <r>
      <rPr>
        <b/>
        <sz val="10"/>
        <color theme="1"/>
        <rFont val="Arial"/>
        <family val="2"/>
      </rPr>
      <t>Region</t>
    </r>
    <r>
      <rPr>
        <sz val="10"/>
        <color theme="1"/>
        <rFont val="Arial"/>
        <family val="2"/>
      </rPr>
      <t> field here. This creates a list of unique regions (e.g., North, South, East, West) down the side.</t>
    </r>
  </si>
  <si>
    <r>
      <t>Values Area:</t>
    </r>
    <r>
      <rPr>
        <sz val="10"/>
        <color theme="1"/>
        <rFont val="Arial"/>
        <family val="2"/>
      </rPr>
      <t> Drag the </t>
    </r>
    <r>
      <rPr>
        <b/>
        <sz val="10"/>
        <color theme="1"/>
        <rFont val="Arial"/>
        <family val="2"/>
      </rPr>
      <t>Sales</t>
    </r>
    <r>
      <rPr>
        <sz val="10"/>
        <color theme="1"/>
        <rFont val="Arial"/>
        <family val="2"/>
      </rPr>
      <t> field here. Excel will automatically change this to </t>
    </r>
    <r>
      <rPr>
        <b/>
        <sz val="10"/>
        <color theme="1"/>
        <rFont val="Arial"/>
        <family val="2"/>
      </rPr>
      <t>Sum of Sales</t>
    </r>
    <r>
      <rPr>
        <sz val="10"/>
        <color theme="1"/>
        <rFont val="Arial"/>
        <family val="2"/>
      </rPr>
      <t>. </t>
    </r>
  </si>
  <si>
    <t>Apply Conditional Formatting to highlight sales greater than 400</t>
  </si>
  <si>
    <t>Q-3</t>
  </si>
  <si>
    <t>1. Select the Data</t>
  </si>
  <si>
    <t>2. Apply the Rule &gt;Go to the Home tab on the ribbon.click condtional formating &gt;Highlight cell rules &gt;Greater Than&gt;In Dialog box ,type 400 in the box</t>
  </si>
  <si>
    <t>Select your preferred style (e.g., Light red fill withdark red text) and click OK</t>
  </si>
  <si>
    <t>Q-4</t>
  </si>
  <si>
    <t>Explain the difference between Sorting and Filtering with an example from this dataset.</t>
  </si>
  <si>
    <t>Sorting and filtering are primary techniques for Organizing larg datasets While often used together, they serve distinct functions</t>
  </si>
  <si>
    <t>e.g. of-Shorting in alphabetical</t>
  </si>
  <si>
    <r>
      <t xml:space="preserve">Sorting rearranges the entire dataset into a specific order—such as alphabetical, numerical, or chronological—without removing any information. 
</t>
    </r>
    <r>
      <rPr>
        <b/>
        <sz val="10"/>
        <color theme="1"/>
        <rFont val="Arial"/>
        <family val="2"/>
      </rPr>
      <t>Process:</t>
    </r>
    <r>
      <rPr>
        <sz val="10"/>
        <color theme="1"/>
        <rFont val="Arial"/>
        <family val="2"/>
      </rPr>
      <t xml:space="preserve"> First select datago to data tab then choose short A to Z
</t>
    </r>
  </si>
  <si>
    <t xml:space="preserve">e.g of Filter in region wise </t>
  </si>
  <si>
    <r>
      <t>Filtering</t>
    </r>
    <r>
      <rPr>
        <sz val="10"/>
        <color theme="1"/>
        <rFont val="Arial"/>
        <family val="2"/>
      </rPr>
      <t> displays only a </t>
    </r>
    <r>
      <rPr>
        <b/>
        <sz val="10"/>
        <color theme="1"/>
        <rFont val="Arial"/>
        <family val="2"/>
      </rPr>
      <t>subset of records</t>
    </r>
    <r>
      <rPr>
        <sz val="10"/>
        <color theme="1"/>
        <rFont val="Arial"/>
        <family val="2"/>
      </rPr>
      <t xml:space="preserve"> that meet defined criteria, temporarily hiding all other data
</t>
    </r>
    <r>
      <rPr>
        <b/>
        <sz val="10"/>
        <color theme="1"/>
        <rFont val="Arial"/>
        <family val="2"/>
      </rPr>
      <t xml:space="preserve"> Process: </t>
    </r>
    <r>
      <rPr>
        <sz val="10"/>
        <color theme="1"/>
        <rFont val="Arial"/>
        <family val="2"/>
      </rPr>
      <t xml:space="preserve">select header go to data tab and  apply filter </t>
    </r>
    <r>
      <rPr>
        <b/>
        <sz val="10"/>
        <color theme="1"/>
        <rFont val="Arial"/>
        <family val="2"/>
      </rPr>
      <t xml:space="preserve">
</t>
    </r>
  </si>
  <si>
    <t>Q-5</t>
  </si>
  <si>
    <t>Create a PivotChart showing Monthly Sales Trend</t>
  </si>
  <si>
    <t>Jan</t>
  </si>
  <si>
    <t>Feb</t>
  </si>
  <si>
    <t>Mar</t>
  </si>
  <si>
    <t>Apr</t>
  </si>
  <si>
    <t>May</t>
  </si>
  <si>
    <t>Jun</t>
  </si>
  <si>
    <t>Use a Slicer to filter data by Product and observe changes in sales</t>
  </si>
  <si>
    <t>Q-7</t>
  </si>
  <si>
    <r>
      <t>1. Insert Slicer</t>
    </r>
    <r>
      <rPr>
        <sz val="10"/>
        <color theme="1"/>
        <rFont val="Arial"/>
        <family val="2"/>
      </rPr>
      <t>: Click anywhere in your PivotTable or Table. Go to the </t>
    </r>
    <r>
      <rPr>
        <b/>
        <sz val="10"/>
        <color theme="1"/>
        <rFont val="Arial"/>
        <family val="2"/>
      </rPr>
      <t>Insert</t>
    </r>
    <r>
      <rPr>
        <sz val="10"/>
        <color theme="1"/>
        <rFont val="Arial"/>
        <family val="2"/>
      </rPr>
      <t> tab and select </t>
    </r>
    <r>
      <rPr>
        <b/>
        <sz val="10"/>
        <color theme="1"/>
        <rFont val="Arial"/>
        <family val="2"/>
      </rPr>
      <t>Slicer</t>
    </r>
    <r>
      <rPr>
        <sz val="10"/>
        <color theme="1"/>
        <rFont val="Arial"/>
        <family val="2"/>
      </rPr>
      <t>.</t>
    </r>
  </si>
  <si>
    <t>Why are Dashboards important for decision-making in business analysis?</t>
  </si>
  <si>
    <r>
      <t>Dashboards are essential in business analysis because they act as a "decision engine," transforming massive amounts of raw data into a centralized, visual, and actionable interface</t>
    </r>
    <r>
      <rPr>
        <sz val="10"/>
        <color theme="1"/>
        <rFont val="Arial"/>
        <family val="2"/>
      </rPr>
      <t>. By consolidating data from multiple sources like CRMs and ERPs, they allow decision-makers to move away from "gut feelings" toward objective, data-driven strategies. </t>
    </r>
  </si>
  <si>
    <t>Real-Time Monitoring</t>
  </si>
  <si>
    <t>Efficiency and Time Savings</t>
  </si>
  <si>
    <t>Visual Clarity</t>
  </si>
  <si>
    <t>Goal Alignment (KPI Tracking)</t>
  </si>
  <si>
    <t>Predictive Insights</t>
  </si>
  <si>
    <t>#</t>
  </si>
  <si>
    <t>Q-8</t>
  </si>
  <si>
    <t>Create a Dashboard that includes:
 Sales by Region (PivotTable + Chart)
 Product Filter (Slicer)
 Monthly Trend (Line Chart)</t>
  </si>
  <si>
    <t>SALES DASHBORD</t>
  </si>
  <si>
    <t>Q-9</t>
  </si>
  <si>
    <t>Group dates in the PivotTable into Months and calculate the average sales per month</t>
  </si>
  <si>
    <r>
      <t>Right-click any date in your PivotTable and select </t>
    </r>
    <r>
      <rPr>
        <b/>
        <sz val="10"/>
        <color theme="1"/>
        <rFont val="Arial"/>
        <family val="2"/>
      </rPr>
      <t>Group</t>
    </r>
    <r>
      <rPr>
        <sz val="10"/>
        <color theme="1"/>
        <rFont val="Arial"/>
        <family val="2"/>
      </rPr>
      <t xml:space="preserve"> In the dialog boxThen ensure </t>
    </r>
    <r>
      <rPr>
        <b/>
        <sz val="10"/>
        <color theme="1"/>
        <rFont val="Arial"/>
        <family val="2"/>
      </rPr>
      <t>Months</t>
    </r>
    <r>
      <rPr>
        <sz val="10"/>
        <color theme="1"/>
        <rFont val="Arial"/>
        <family val="2"/>
      </rPr>
      <t> is highlighted you can also select </t>
    </r>
    <r>
      <rPr>
        <b/>
        <sz val="10"/>
        <color theme="1"/>
        <rFont val="Arial"/>
        <family val="2"/>
      </rPr>
      <t>Years</t>
    </r>
    <r>
      <rPr>
        <sz val="10"/>
        <color theme="1"/>
        <rFont val="Arial"/>
        <family val="2"/>
      </rPr>
      <t> to prevent months from different years being merged and click </t>
    </r>
    <r>
      <rPr>
        <b/>
        <sz val="10"/>
        <color theme="1"/>
        <rFont val="Arial"/>
        <family val="2"/>
      </rPr>
      <t>OK</t>
    </r>
  </si>
  <si>
    <t>Combine Apples and Oranges into one group called Fruits and compare its sales with other products</t>
  </si>
  <si>
    <t>Q-10</t>
  </si>
  <si>
    <t>01-Jan</t>
  </si>
  <si>
    <t>10-Jan</t>
  </si>
  <si>
    <t>20-Jan</t>
  </si>
  <si>
    <t>29-Jan</t>
  </si>
  <si>
    <t>Average of Sales</t>
  </si>
  <si>
    <t>Fruits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</si>
</sst>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7" x14ac:knownFonts="1">
    <font>
      <sz val="11"/>
      <color theme="1"/>
      <name val="Calibri"/>
      <family val="2"/>
      <scheme val="minor"/>
    </font>
    <font>
      <b/>
      <sz val="11"/>
      <color theme="1"/>
      <name val="Calibri"/>
      <family val="2"/>
      <scheme val="minor"/>
    </font>
    <font>
      <sz val="10"/>
      <color theme="1"/>
      <name val="Arial"/>
      <family val="2"/>
    </font>
    <font>
      <b/>
      <sz val="10"/>
      <color theme="1"/>
      <name val="Arial"/>
      <family val="2"/>
    </font>
    <font>
      <sz val="12"/>
      <color theme="1"/>
      <name val="Arial"/>
      <family val="2"/>
    </font>
    <font>
      <sz val="11"/>
      <color theme="1"/>
      <name val="Calibri"/>
      <family val="2"/>
    </font>
    <font>
      <sz val="36"/>
      <color theme="1"/>
      <name val="Algerian"/>
      <family val="5"/>
    </font>
  </fonts>
  <fills count="5">
    <fill>
      <patternFill patternType="none"/>
    </fill>
    <fill>
      <patternFill patternType="gray125"/>
    </fill>
    <fill>
      <patternFill patternType="solid">
        <fgColor theme="8" tint="0.59999389629810485"/>
        <bgColor indexed="64"/>
      </patternFill>
    </fill>
    <fill>
      <patternFill patternType="solid">
        <fgColor theme="5" tint="0.59999389629810485"/>
        <bgColor indexed="64"/>
      </patternFill>
    </fill>
    <fill>
      <patternFill patternType="solid">
        <fgColor theme="9" tint="0.39997558519241921"/>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57">
    <xf numFmtId="0" fontId="0" fillId="0" borderId="0" xfId="0"/>
    <xf numFmtId="0" fontId="0" fillId="3" borderId="0" xfId="0" applyFill="1" applyAlignment="1">
      <alignment horizontal="left"/>
    </xf>
    <xf numFmtId="0" fontId="0" fillId="0" borderId="1" xfId="0" applyBorder="1"/>
    <xf numFmtId="0" fontId="0" fillId="0" borderId="0" xfId="0" pivotButton="1"/>
    <xf numFmtId="0" fontId="0" fillId="0" borderId="0" xfId="0" applyAlignment="1">
      <alignment horizontal="left"/>
    </xf>
    <xf numFmtId="0" fontId="0" fillId="2" borderId="0" xfId="0" applyFill="1"/>
    <xf numFmtId="0" fontId="0" fillId="3" borderId="0" xfId="0" applyFill="1"/>
    <xf numFmtId="0" fontId="1" fillId="2" borderId="1" xfId="0" applyFont="1" applyFill="1" applyBorder="1" applyAlignment="1">
      <alignment horizontal="center" vertical="top"/>
    </xf>
    <xf numFmtId="164" fontId="0" fillId="2" borderId="1" xfId="0" applyNumberFormat="1" applyFill="1" applyBorder="1"/>
    <xf numFmtId="0" fontId="0" fillId="2" borderId="1" xfId="0" applyFill="1" applyBorder="1"/>
    <xf numFmtId="0" fontId="0" fillId="0" borderId="1" xfId="0" applyBorder="1" applyAlignment="1">
      <alignment horizontal="left"/>
    </xf>
    <xf numFmtId="0" fontId="0" fillId="2" borderId="1" xfId="0" applyFill="1" applyBorder="1" applyAlignment="1">
      <alignment horizontal="left"/>
    </xf>
    <xf numFmtId="0" fontId="1" fillId="0" borderId="1" xfId="0" applyFont="1" applyBorder="1" applyAlignment="1">
      <alignment horizontal="center" vertical="top"/>
    </xf>
    <xf numFmtId="164" fontId="0" fillId="0" borderId="1" xfId="0" applyNumberFormat="1" applyBorder="1"/>
    <xf numFmtId="0" fontId="0" fillId="3" borderId="0" xfId="0" applyFill="1" applyAlignment="1">
      <alignment horizontal="right"/>
    </xf>
    <xf numFmtId="0" fontId="5" fillId="0" borderId="0" xfId="0" applyFont="1" applyAlignment="1">
      <alignment horizontal="right" indent="1"/>
    </xf>
    <xf numFmtId="0" fontId="1" fillId="0" borderId="0" xfId="0" applyFont="1" applyAlignment="1">
      <alignment horizontal="center" vertical="top"/>
    </xf>
    <xf numFmtId="0" fontId="0" fillId="3" borderId="1" xfId="0" applyFill="1" applyBorder="1" applyAlignment="1">
      <alignment horizontal="right" vertical="center"/>
    </xf>
    <xf numFmtId="0" fontId="6" fillId="0" borderId="0" xfId="0" applyFont="1" applyAlignment="1">
      <alignment vertical="center"/>
    </xf>
    <xf numFmtId="0" fontId="2" fillId="2" borderId="0" xfId="0" applyFont="1" applyFill="1" applyAlignment="1">
      <alignment horizontal="left" wrapText="1"/>
    </xf>
    <xf numFmtId="0" fontId="2" fillId="2" borderId="0" xfId="0" applyFont="1" applyFill="1" applyAlignment="1">
      <alignment wrapText="1"/>
    </xf>
    <xf numFmtId="0" fontId="0" fillId="3" borderId="0" xfId="0" applyFill="1" applyAlignment="1">
      <alignment horizontal="right" indent="2"/>
    </xf>
    <xf numFmtId="0" fontId="0" fillId="2" borderId="1" xfId="0" applyFill="1" applyBorder="1" applyAlignment="1">
      <alignment horizontal="left" vertical="center" wrapText="1"/>
    </xf>
    <xf numFmtId="0" fontId="0" fillId="3" borderId="1" xfId="0" applyFill="1" applyBorder="1" applyAlignment="1">
      <alignment horizontal="left"/>
    </xf>
    <xf numFmtId="0" fontId="0" fillId="3" borderId="0" xfId="0" applyFill="1" applyAlignment="1">
      <alignment horizontal="left"/>
    </xf>
    <xf numFmtId="0" fontId="3" fillId="2" borderId="0" xfId="0" applyFont="1" applyFill="1" applyAlignment="1">
      <alignment horizontal="left" vertical="center"/>
    </xf>
    <xf numFmtId="0" fontId="4" fillId="2" borderId="1" xfId="0" applyFont="1" applyFill="1" applyBorder="1" applyAlignment="1">
      <alignment horizontal="left" vertical="center" wrapText="1"/>
    </xf>
    <xf numFmtId="0" fontId="2" fillId="2" borderId="1" xfId="0" applyFont="1" applyFill="1" applyBorder="1" applyAlignment="1">
      <alignment horizontal="left" vertical="center" wrapText="1"/>
    </xf>
    <xf numFmtId="0" fontId="3" fillId="2" borderId="1" xfId="0" applyFont="1" applyFill="1" applyBorder="1" applyAlignment="1">
      <alignment horizontal="left" wrapText="1"/>
    </xf>
    <xf numFmtId="0" fontId="3" fillId="2" borderId="1" xfId="0" applyFont="1" applyFill="1" applyBorder="1" applyAlignment="1">
      <alignment horizontal="left"/>
    </xf>
    <xf numFmtId="0" fontId="0" fillId="0" borderId="2" xfId="0" applyBorder="1" applyAlignment="1">
      <alignment horizontal="left"/>
    </xf>
    <xf numFmtId="0" fontId="2" fillId="2" borderId="3" xfId="0" applyFont="1" applyFill="1" applyBorder="1" applyAlignment="1">
      <alignment horizontal="left" vertical="center"/>
    </xf>
    <xf numFmtId="0" fontId="2" fillId="2" borderId="2" xfId="0" applyFont="1" applyFill="1" applyBorder="1" applyAlignment="1">
      <alignment horizontal="left" vertical="center"/>
    </xf>
    <xf numFmtId="0" fontId="2" fillId="2" borderId="4" xfId="0" applyFont="1" applyFill="1" applyBorder="1" applyAlignment="1">
      <alignment horizontal="left" vertical="center"/>
    </xf>
    <xf numFmtId="0" fontId="3" fillId="2" borderId="0" xfId="0" applyFont="1" applyFill="1" applyAlignment="1">
      <alignment horizontal="left" vertical="center" wrapText="1"/>
    </xf>
    <xf numFmtId="0" fontId="0" fillId="0" borderId="0" xfId="0" applyAlignment="1">
      <alignment horizontal="left" wrapText="1"/>
    </xf>
    <xf numFmtId="0" fontId="3" fillId="0" borderId="0" xfId="0" applyFont="1" applyAlignment="1">
      <alignment horizontal="left" vertical="center"/>
    </xf>
    <xf numFmtId="0" fontId="0" fillId="3" borderId="0" xfId="0" applyFill="1" applyAlignment="1">
      <alignment wrapText="1"/>
    </xf>
    <xf numFmtId="0" fontId="6" fillId="4" borderId="0" xfId="0" applyFont="1" applyFill="1" applyAlignment="1">
      <alignment horizontal="center" vertical="center"/>
    </xf>
    <xf numFmtId="0" fontId="2" fillId="2" borderId="0" xfId="0" applyFont="1" applyFill="1" applyAlignment="1">
      <alignment horizontal="left" vertical="center" wrapText="1"/>
    </xf>
    <xf numFmtId="0" fontId="0" fillId="0" borderId="0" xfId="0" applyNumberFormat="1"/>
    <xf numFmtId="164" fontId="0" fillId="2" borderId="4" xfId="0" applyNumberFormat="1" applyFill="1" applyBorder="1"/>
    <xf numFmtId="0" fontId="0" fillId="2" borderId="3" xfId="0" applyFill="1" applyBorder="1"/>
    <xf numFmtId="0" fontId="1" fillId="2" borderId="5" xfId="0" applyFont="1" applyFill="1" applyBorder="1" applyAlignment="1">
      <alignment horizontal="center" vertical="top"/>
    </xf>
    <xf numFmtId="0" fontId="1" fillId="2" borderId="6" xfId="0" applyFont="1" applyFill="1" applyBorder="1" applyAlignment="1">
      <alignment horizontal="center" vertical="top"/>
    </xf>
    <xf numFmtId="0" fontId="1" fillId="2" borderId="7" xfId="0" applyFont="1" applyFill="1" applyBorder="1" applyAlignment="1">
      <alignment horizontal="center" vertical="top"/>
    </xf>
    <xf numFmtId="164" fontId="0" fillId="2" borderId="8" xfId="0" applyNumberFormat="1" applyFill="1" applyBorder="1"/>
    <xf numFmtId="0" fontId="0" fillId="2" borderId="9" xfId="0" applyFill="1" applyBorder="1"/>
    <xf numFmtId="0" fontId="0" fillId="2" borderId="10" xfId="0" applyFill="1" applyBorder="1"/>
    <xf numFmtId="0" fontId="0" fillId="2" borderId="1" xfId="0" applyNumberFormat="1" applyFill="1" applyBorder="1"/>
    <xf numFmtId="0" fontId="0" fillId="2" borderId="1" xfId="0" applyFill="1" applyBorder="1" applyAlignment="1">
      <alignment horizontal="left" indent="1"/>
    </xf>
    <xf numFmtId="14" fontId="1" fillId="2" borderId="1" xfId="0" applyNumberFormat="1" applyFont="1" applyFill="1" applyBorder="1" applyAlignment="1">
      <alignment horizontal="center" vertical="top"/>
    </xf>
    <xf numFmtId="14" fontId="0" fillId="2" borderId="1" xfId="0" applyNumberFormat="1" applyFill="1" applyBorder="1"/>
    <xf numFmtId="14" fontId="0" fillId="0" borderId="0" xfId="0" applyNumberFormat="1"/>
    <xf numFmtId="0" fontId="1" fillId="0" borderId="0" xfId="0" applyFont="1" applyBorder="1" applyAlignment="1">
      <alignment horizontal="center" vertical="top"/>
    </xf>
    <xf numFmtId="164" fontId="0" fillId="0" borderId="0" xfId="0" applyNumberFormat="1" applyBorder="1"/>
    <xf numFmtId="0" fontId="0" fillId="0" borderId="0" xfId="0" applyBorder="1"/>
  </cellXfs>
  <cellStyles count="1">
    <cellStyle name="Normal" xfId="0" builtinId="0"/>
  </cellStyles>
  <dxfs count="25">
    <dxf>
      <font>
        <color rgb="FF9C0006"/>
      </font>
      <fill>
        <patternFill>
          <bgColor rgb="FFFFC7CE"/>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Calibri"/>
        <family val="2"/>
        <scheme val="minor"/>
      </font>
      <fill>
        <patternFill patternType="solid">
          <fgColor indexed="64"/>
          <bgColor theme="8" tint="0.59999389629810485"/>
        </patternFill>
      </fill>
      <alignment horizontal="center" vertical="top" textRotation="0" wrapText="0" indent="0" justifyLastLine="0" shrinkToFit="0" readingOrder="0"/>
      <border diagonalUp="0" diagonalDown="0" outline="0">
        <left style="thin">
          <color indexed="64"/>
        </left>
        <right style="thin">
          <color indexed="64"/>
        </right>
        <top/>
        <bottom/>
      </border>
    </dxf>
    <dxf>
      <fill>
        <patternFill patternType="solid">
          <fgColor indexed="64"/>
          <bgColor theme="8" tint="0.59999389629810485"/>
        </patternFill>
      </fill>
    </dxf>
    <dxf>
      <fill>
        <patternFill patternType="solid">
          <fgColor indexed="64"/>
          <bgColor theme="8" tint="0.59999389629810485"/>
        </patternFill>
      </fill>
      <border diagonalUp="0" diagonalDown="0">
        <left style="thin">
          <color indexed="64"/>
        </left>
        <right/>
        <top style="thin">
          <color indexed="64"/>
        </top>
        <bottom style="thin">
          <color indexed="64"/>
        </bottom>
        <vertical/>
        <horizontal/>
      </border>
    </dxf>
    <dxf>
      <fill>
        <patternFill patternType="solid">
          <fgColor indexed="64"/>
          <bgColor theme="8" tint="0.59999389629810485"/>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8" tint="0.59999389629810485"/>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8" tint="0.59999389629810485"/>
        </patternFill>
      </fill>
      <border diagonalUp="0" diagonalDown="0">
        <left style="thin">
          <color indexed="64"/>
        </left>
        <right style="thin">
          <color indexed="64"/>
        </right>
        <top style="thin">
          <color indexed="64"/>
        </top>
        <bottom style="thin">
          <color indexed="64"/>
        </bottom>
        <vertical/>
        <horizontal/>
      </border>
    </dxf>
    <dxf>
      <numFmt numFmtId="164" formatCode="yyyy\-mm\-dd\ hh:mm:ss"/>
      <fill>
        <patternFill patternType="solid">
          <fgColor indexed="64"/>
          <bgColor theme="8" tint="0.59999389629810485"/>
        </patternFill>
      </fill>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fill>
        <patternFill patternType="solid">
          <bgColor theme="8"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[3. Pivot Table And Charts Assignments.xlsx]Q-5!PivotTable2</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'Q-5'!$I$5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'Q-5'!$H$6:$H$12</c:f>
              <c:strCache>
                <c:ptCount val="6"/>
                <c:pt idx="0">
                  <c:v>Jan</c:v>
                </c:pt>
                <c:pt idx="1">
                  <c:v>Feb</c:v>
                </c:pt>
                <c:pt idx="2">
                  <c:v>Mar</c:v>
                </c:pt>
                <c:pt idx="3">
                  <c:v>Apr</c:v>
                </c:pt>
                <c:pt idx="4">
                  <c:v>May</c:v>
                </c:pt>
                <c:pt idx="5">
                  <c:v>Jun</c:v>
                </c:pt>
              </c:strCache>
            </c:strRef>
          </c:cat>
          <c:val>
            <c:numRef>
              <c:f>'Q-5'!$I$6:$I$12</c:f>
              <c:numCache>
                <c:formatCode>General</c:formatCode>
                <c:ptCount val="6"/>
                <c:pt idx="0">
                  <c:v>1281</c:v>
                </c:pt>
                <c:pt idx="1">
                  <c:v>1032</c:v>
                </c:pt>
                <c:pt idx="2">
                  <c:v>958</c:v>
                </c:pt>
                <c:pt idx="3">
                  <c:v>1155</c:v>
                </c:pt>
                <c:pt idx="4">
                  <c:v>1286</c:v>
                </c:pt>
                <c:pt idx="5">
                  <c:v>1117</c:v>
                </c:pt>
              </c:numCache>
            </c:numRef>
          </c:val>
          <c:smooth val="0"/>
          <c:extLst>
            <c:ext xmlns:c16="http://schemas.microsoft.com/office/drawing/2014/chart" uri="{C3380CC4-5D6E-409C-BE32-E72D297353CC}">
              <c16:uniqueId val="{00000000-83CC-4CC9-BA3D-9C76A15A2A3F}"/>
            </c:ext>
          </c:extLst>
        </c:ser>
        <c:dLbls>
          <c:showLegendKey val="0"/>
          <c:showVal val="0"/>
          <c:showCatName val="0"/>
          <c:showSerName val="0"/>
          <c:showPercent val="0"/>
          <c:showBubbleSize val="0"/>
        </c:dLbls>
        <c:marker val="1"/>
        <c:smooth val="0"/>
        <c:axId val="525333888"/>
        <c:axId val="525328608"/>
      </c:lineChart>
      <c:catAx>
        <c:axId val="525333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5328608"/>
        <c:crosses val="autoZero"/>
        <c:auto val="1"/>
        <c:lblAlgn val="ctr"/>
        <c:lblOffset val="100"/>
        <c:noMultiLvlLbl val="0"/>
      </c:catAx>
      <c:valAx>
        <c:axId val="525328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5333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[3. Pivot Table And Charts Assignments.xlsx]Q-8!PivotTable3</c:name>
    <c:fmtId val="1"/>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'Q-8'!$F$17</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'Q-8'!$E$18:$E$21</c:f>
              <c:strCache>
                <c:ptCount val="3"/>
                <c:pt idx="0">
                  <c:v>East</c:v>
                </c:pt>
                <c:pt idx="1">
                  <c:v>South</c:v>
                </c:pt>
                <c:pt idx="2">
                  <c:v>West</c:v>
                </c:pt>
              </c:strCache>
            </c:strRef>
          </c:cat>
          <c:val>
            <c:numRef>
              <c:f>'Q-8'!$F$18:$F$21</c:f>
              <c:numCache>
                <c:formatCode>General</c:formatCode>
                <c:ptCount val="3"/>
                <c:pt idx="0">
                  <c:v>467</c:v>
                </c:pt>
                <c:pt idx="1">
                  <c:v>937</c:v>
                </c:pt>
                <c:pt idx="2">
                  <c:v>1117</c:v>
                </c:pt>
              </c:numCache>
            </c:numRef>
          </c:val>
          <c:extLst>
            <c:ext xmlns:c16="http://schemas.microsoft.com/office/drawing/2014/chart" uri="{C3380CC4-5D6E-409C-BE32-E72D297353CC}">
              <c16:uniqueId val="{00000000-8511-4BC5-8BC5-D785FFA7D493}"/>
            </c:ext>
          </c:extLst>
        </c:ser>
        <c:dLbls>
          <c:showLegendKey val="0"/>
          <c:showVal val="1"/>
          <c:showCatName val="0"/>
          <c:showSerName val="0"/>
          <c:showPercent val="0"/>
          <c:showBubbleSize val="0"/>
        </c:dLbls>
        <c:gapWidth val="150"/>
        <c:shape val="box"/>
        <c:axId val="2124377088"/>
        <c:axId val="2124380448"/>
        <c:axId val="0"/>
      </c:bar3DChart>
      <c:catAx>
        <c:axId val="21243770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24380448"/>
        <c:crosses val="autoZero"/>
        <c:auto val="1"/>
        <c:lblAlgn val="ctr"/>
        <c:lblOffset val="100"/>
        <c:noMultiLvlLbl val="0"/>
      </c:catAx>
      <c:valAx>
        <c:axId val="2124380448"/>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24377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[3. Pivot Table And Charts Assignments.xlsx]Q-8!PivotTable4</c:name>
    <c:fmtId val="0"/>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'Q-8'!$N$16</c:f>
              <c:strCache>
                <c:ptCount val="1"/>
                <c:pt idx="0">
                  <c:v>Total</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'Q-8'!$M$17:$M$22</c:f>
              <c:strCache>
                <c:ptCount val="5"/>
                <c:pt idx="0">
                  <c:v>Jan</c:v>
                </c:pt>
                <c:pt idx="1">
                  <c:v>Feb</c:v>
                </c:pt>
                <c:pt idx="2">
                  <c:v>Mar</c:v>
                </c:pt>
                <c:pt idx="3">
                  <c:v>Apr</c:v>
                </c:pt>
                <c:pt idx="4">
                  <c:v>May</c:v>
                </c:pt>
              </c:strCache>
            </c:strRef>
          </c:cat>
          <c:val>
            <c:numRef>
              <c:f>'Q-8'!$N$17:$N$22</c:f>
              <c:numCache>
                <c:formatCode>General</c:formatCode>
                <c:ptCount val="5"/>
                <c:pt idx="0">
                  <c:v>703</c:v>
                </c:pt>
                <c:pt idx="1">
                  <c:v>281</c:v>
                </c:pt>
                <c:pt idx="2">
                  <c:v>76</c:v>
                </c:pt>
                <c:pt idx="3">
                  <c:v>672</c:v>
                </c:pt>
                <c:pt idx="4">
                  <c:v>789</c:v>
                </c:pt>
              </c:numCache>
            </c:numRef>
          </c:val>
          <c:smooth val="0"/>
          <c:extLst>
            <c:ext xmlns:c16="http://schemas.microsoft.com/office/drawing/2014/chart" uri="{C3380CC4-5D6E-409C-BE32-E72D297353CC}">
              <c16:uniqueId val="{00000000-2831-48BF-BBA4-A85F8F3F28E0}"/>
            </c:ext>
          </c:extLst>
        </c:ser>
        <c:dLbls>
          <c:dLblPos val="ctr"/>
          <c:showLegendKey val="0"/>
          <c:showVal val="1"/>
          <c:showCatName val="0"/>
          <c:showSerName val="0"/>
          <c:showPercent val="0"/>
          <c:showBubbleSize val="0"/>
        </c:dLbls>
        <c:marker val="1"/>
        <c:smooth val="0"/>
        <c:axId val="2124407328"/>
        <c:axId val="2124407808"/>
      </c:lineChart>
      <c:catAx>
        <c:axId val="212440732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124407808"/>
        <c:crosses val="autoZero"/>
        <c:auto val="1"/>
        <c:lblAlgn val="ctr"/>
        <c:lblOffset val="100"/>
        <c:noMultiLvlLbl val="0"/>
      </c:catAx>
      <c:valAx>
        <c:axId val="212440780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124407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9</xdr:col>
      <xdr:colOff>60960</xdr:colOff>
      <xdr:row>3</xdr:row>
      <xdr:rowOff>118110</xdr:rowOff>
    </xdr:from>
    <xdr:to>
      <xdr:col>17</xdr:col>
      <xdr:colOff>30480</xdr:colOff>
      <xdr:row>15</xdr:row>
      <xdr:rowOff>7620</xdr:rowOff>
    </xdr:to>
    <xdr:graphicFrame macro="">
      <xdr:nvGraphicFramePr>
        <xdr:cNvPr id="4" name="Chart 3">
          <a:extLst>
            <a:ext uri="{FF2B5EF4-FFF2-40B4-BE49-F238E27FC236}">
              <a16:creationId xmlns:a16="http://schemas.microsoft.com/office/drawing/2014/main" id="{A800D088-151F-D92E-866A-5E1E07B88A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304800</xdr:colOff>
      <xdr:row>3</xdr:row>
      <xdr:rowOff>38100</xdr:rowOff>
    </xdr:from>
    <xdr:to>
      <xdr:col>13</xdr:col>
      <xdr:colOff>304800</xdr:colOff>
      <xdr:row>16</xdr:row>
      <xdr:rowOff>127635</xdr:rowOff>
    </xdr:to>
    <mc:AlternateContent xmlns:mc="http://schemas.openxmlformats.org/markup-compatibility/2006">
      <mc:Choice xmlns:a14="http://schemas.microsoft.com/office/drawing/2010/main" Requires="a14">
        <xdr:graphicFrame macro="">
          <xdr:nvGraphicFramePr>
            <xdr:cNvPr id="4" name="Product 1">
              <a:extLst>
                <a:ext uri="{FF2B5EF4-FFF2-40B4-BE49-F238E27FC236}">
                  <a16:creationId xmlns:a16="http://schemas.microsoft.com/office/drawing/2014/main" id="{33FB02D6-15E5-0FDD-F7B5-3252B0F22490}"/>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7612380" y="5867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289709</xdr:colOff>
      <xdr:row>11</xdr:row>
      <xdr:rowOff>0</xdr:rowOff>
    </xdr:from>
    <xdr:to>
      <xdr:col>9</xdr:col>
      <xdr:colOff>497632</xdr:colOff>
      <xdr:row>31</xdr:row>
      <xdr:rowOff>15550</xdr:rowOff>
    </xdr:to>
    <xdr:graphicFrame macro="">
      <xdr:nvGraphicFramePr>
        <xdr:cNvPr id="4" name="Chart 3">
          <a:extLst>
            <a:ext uri="{FF2B5EF4-FFF2-40B4-BE49-F238E27FC236}">
              <a16:creationId xmlns:a16="http://schemas.microsoft.com/office/drawing/2014/main" id="{62BEF2BD-6860-718B-2EAC-CDE624FAF0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112432</xdr:colOff>
      <xdr:row>3</xdr:row>
      <xdr:rowOff>130900</xdr:rowOff>
    </xdr:from>
    <xdr:to>
      <xdr:col>9</xdr:col>
      <xdr:colOff>10119</xdr:colOff>
      <xdr:row>9</xdr:row>
      <xdr:rowOff>100218</xdr:rowOff>
    </xdr:to>
    <mc:AlternateContent xmlns:mc="http://schemas.openxmlformats.org/markup-compatibility/2006">
      <mc:Choice xmlns:a14="http://schemas.microsoft.com/office/drawing/2010/main" Requires="a14">
        <xdr:graphicFrame macro="">
          <xdr:nvGraphicFramePr>
            <xdr:cNvPr id="5" name="Product">
              <a:extLst>
                <a:ext uri="{FF2B5EF4-FFF2-40B4-BE49-F238E27FC236}">
                  <a16:creationId xmlns:a16="http://schemas.microsoft.com/office/drawing/2014/main" id="{A5692620-05EE-9927-7E7A-F162CC1932D6}"/>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6223983" y="1203920"/>
              <a:ext cx="1826014" cy="13844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1073020</xdr:colOff>
      <xdr:row>10</xdr:row>
      <xdr:rowOff>166508</xdr:rowOff>
    </xdr:from>
    <xdr:to>
      <xdr:col>15</xdr:col>
      <xdr:colOff>637592</xdr:colOff>
      <xdr:row>30</xdr:row>
      <xdr:rowOff>155221</xdr:rowOff>
    </xdr:to>
    <xdr:graphicFrame macro="">
      <xdr:nvGraphicFramePr>
        <xdr:cNvPr id="7" name="Chart 6">
          <a:extLst>
            <a:ext uri="{FF2B5EF4-FFF2-40B4-BE49-F238E27FC236}">
              <a16:creationId xmlns:a16="http://schemas.microsoft.com/office/drawing/2014/main" id="{9CAA05AF-FF6E-DE2F-8FC1-5F60C5FF95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msah" refreshedDate="46030.809302893518" createdVersion="8" refreshedVersion="8" minRefreshableVersion="3" recordCount="20" xr:uid="{A1FD17C0-D8DB-4F0E-9232-5824FAF1070A}">
  <cacheSource type="worksheet">
    <worksheetSource ref="B4:F24" sheet="Q-2"/>
  </cacheSource>
  <cacheFields count="5">
    <cacheField name="Date" numFmtId="164">
      <sharedItems containsSemiMixedTypes="0" containsNonDate="0" containsDate="1" containsString="0" minDate="2024-01-01T00:00:00" maxDate="2024-07-01T00:00:00"/>
    </cacheField>
    <cacheField name="Region" numFmtId="0">
      <sharedItems count="4">
        <s v="West"/>
        <s v="South"/>
        <s v="East"/>
        <s v="North"/>
      </sharedItems>
    </cacheField>
    <cacheField name="Product" numFmtId="0">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msah" refreshedDate="46030.83341875" createdVersion="8" refreshedVersion="8" minRefreshableVersion="3" recordCount="20" xr:uid="{CAFF657F-3D1C-49AE-A68B-A5FC4DDE2D15}">
  <cacheSource type="worksheet">
    <worksheetSource ref="B5:F25" sheet="Q-5"/>
  </cacheSource>
  <cacheFields count="7">
    <cacheField name="Date" numFmtId="164">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6"/>
    </cacheField>
    <cacheField name="Region" numFmtId="0">
      <sharedItems/>
    </cacheField>
    <cacheField name="Product" numFmtId="0">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Days (Date)" numFmtId="0" databaseField="0">
      <fieldGroup base="0">
        <rangePr groupBy="days" startDate="2024-01-01T00:00:00" endDate="2024-07-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4"/>
        </groupItems>
      </fieldGroup>
    </cacheField>
    <cacheField name="Months (Date)" numFmtId="0" databaseField="0">
      <fieldGroup base="0">
        <rangePr groupBy="months" startDate="2024-01-01T00:00:00" endDate="2024-07-01T00:00:00"/>
        <groupItems count="14">
          <s v="&lt;01-01-2024"/>
          <s v="Jan"/>
          <s v="Feb"/>
          <s v="Mar"/>
          <s v="Apr"/>
          <s v="May"/>
          <s v="Jun"/>
          <s v="Jul"/>
          <s v="Aug"/>
          <s v="Sep"/>
          <s v="Oct"/>
          <s v="Nov"/>
          <s v="Dec"/>
          <s v="&gt;01-07-2024"/>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msah" refreshedDate="46030.837579861109" createdVersion="8" refreshedVersion="8" minRefreshableVersion="3" recordCount="20" xr:uid="{A944317E-35E8-4D17-836A-C479D96BA261}">
  <cacheSource type="worksheet">
    <worksheetSource ref="B6:F26" sheet="Q-6"/>
  </cacheSource>
  <cacheFields count="7">
    <cacheField name="Date" numFmtId="164">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6"/>
    </cacheField>
    <cacheField name="Region" numFmtId="0">
      <sharedItems count="4">
        <s v="West"/>
        <s v="South"/>
        <s v="East"/>
        <s v="North"/>
      </sharedItems>
    </cacheField>
    <cacheField name="Product" numFmtId="0">
      <sharedItems count="3">
        <s v="Mangoes"/>
        <s v="Oranges"/>
        <s v="Apples"/>
      </sharedItems>
    </cacheField>
    <cacheField name="Sales" numFmtId="0">
      <sharedItems containsSemiMixedTypes="0" containsString="0" containsNumber="1" containsInteger="1" minValue="53" maxValue="497" count="19">
        <n v="456"/>
        <n v="348"/>
        <n v="247"/>
        <n v="230"/>
        <n v="281"/>
        <n v="334"/>
        <n v="417"/>
        <n v="441"/>
        <n v="76"/>
        <n v="205"/>
        <n v="483"/>
        <n v="467"/>
        <n v="380"/>
        <n v="497"/>
        <n v="409"/>
        <n v="53"/>
        <n v="398"/>
        <n v="347"/>
        <n v="319"/>
      </sharedItems>
    </cacheField>
    <cacheField name="Quantity" numFmtId="0">
      <sharedItems containsSemiMixedTypes="0" containsString="0" containsNumber="1" containsInteger="1" minValue="23" maxValue="97"/>
    </cacheField>
    <cacheField name="Days (Date)" numFmtId="0" databaseField="0">
      <fieldGroup base="0">
        <rangePr groupBy="days" startDate="2024-01-01T00:00:00" endDate="2024-07-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4"/>
        </groupItems>
      </fieldGroup>
    </cacheField>
    <cacheField name="Months (Date)" numFmtId="0" databaseField="0">
      <fieldGroup base="0">
        <rangePr groupBy="months" startDate="2024-01-01T00:00:00" endDate="2024-07-01T00:00:00"/>
        <groupItems count="14">
          <s v="&lt;01-01-2024"/>
          <s v="Jan"/>
          <s v="Feb"/>
          <s v="Mar"/>
          <s v="Apr"/>
          <s v="May"/>
          <s v="Jun"/>
          <s v="Jul"/>
          <s v="Aug"/>
          <s v="Sep"/>
          <s v="Oct"/>
          <s v="Nov"/>
          <s v="Dec"/>
          <s v="&gt;01-07-2024"/>
        </groupItems>
      </fieldGroup>
    </cacheField>
  </cacheFields>
  <extLst>
    <ext xmlns:x14="http://schemas.microsoft.com/office/spreadsheetml/2009/9/main" uri="{725AE2AE-9491-48be-B2B4-4EB974FC3084}">
      <x14:pivotCacheDefinition pivotCacheId="97487422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msah" refreshedDate="46030.879453009256" createdVersion="8" refreshedVersion="8" minRefreshableVersion="3" recordCount="20" xr:uid="{419047F7-4367-4DA6-A580-C3C877F8015B}">
  <cacheSource type="worksheet">
    <worksheetSource ref="B7:F27" sheet="Q-9"/>
  </cacheSource>
  <cacheFields count="7">
    <cacheField name="Date" numFmtId="164">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6"/>
    </cacheField>
    <cacheField name="Region" numFmtId="0">
      <sharedItems/>
    </cacheField>
    <cacheField name="Product" numFmtId="0">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Days (Date)" numFmtId="0" databaseField="0">
      <fieldGroup base="0">
        <rangePr groupBy="days" startDate="2024-01-01T00:00:00" endDate="2024-07-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4"/>
        </groupItems>
      </fieldGroup>
    </cacheField>
    <cacheField name="Months (Date)" numFmtId="0" databaseField="0">
      <fieldGroup base="0">
        <rangePr groupBy="months" startDate="2024-01-01T00:00:00" endDate="2024-07-01T00:00:00"/>
        <groupItems count="14">
          <s v="&lt;01-01-2024"/>
          <s v="Jan"/>
          <s v="Feb"/>
          <s v="Mar"/>
          <s v="Apr"/>
          <s v="May"/>
          <s v="Jun"/>
          <s v="Jul"/>
          <s v="Aug"/>
          <s v="Sep"/>
          <s v="Oct"/>
          <s v="Nov"/>
          <s v="Dec"/>
          <s v="&gt;01-07-2024"/>
        </groupItems>
      </fieldGroup>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bhadeep koner" refreshedDate="46043.383969675924" createdVersion="8" refreshedVersion="8" minRefreshableVersion="3" recordCount="20" xr:uid="{34BBB40F-4628-4E48-B873-430F012BAEA6}">
  <cacheSource type="worksheet">
    <worksheetSource ref="B6:F26" sheet="Q-10"/>
  </cacheSource>
  <cacheFields count="6">
    <cacheField name="Date" numFmtId="164">
      <sharedItems containsSemiMixedTypes="0" containsNonDate="0" containsDate="1" containsString="0" minDate="2024-01-01T00:00:00" maxDate="2024-07-01T00:00:00"/>
    </cacheField>
    <cacheField name="Region" numFmtId="0">
      <sharedItems/>
    </cacheField>
    <cacheField name="Product" numFmtId="0">
      <sharedItems count="3">
        <s v="Mangoes"/>
        <s v="Oranges"/>
        <s v="Apples"/>
      </sharedItems>
      <fieldGroup par="5"/>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Product2" numFmtId="0" databaseField="0">
      <fieldGroup base="2">
        <discretePr count="3">
          <x v="0"/>
          <x v="1"/>
          <x v="1"/>
        </discretePr>
        <groupItems count="2">
          <s v="Mangoes"/>
          <s v="Group1"/>
        </groupItems>
      </fieldGroup>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bhadeep koner" refreshedDate="46043.392484722222" createdVersion="8" refreshedVersion="8" minRefreshableVersion="3" recordCount="20" xr:uid="{995BD97C-4800-4C9F-AFD3-BDD5443C55F4}">
  <cacheSource type="worksheet">
    <worksheetSource name="Table1"/>
  </cacheSource>
  <cacheFields count="6">
    <cacheField name="Date" numFmtId="164">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5"/>
    </cacheField>
    <cacheField name="Region" numFmtId="0">
      <sharedItems count="4">
        <s v="West"/>
        <s v="South"/>
        <s v="East"/>
        <s v="North"/>
      </sharedItems>
    </cacheField>
    <cacheField name="Product" numFmtId="0">
      <sharedItems count="3">
        <s v="Mangoes"/>
        <s v="Oranges"/>
        <s v="Apples"/>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Months (Date)" numFmtId="0" databaseField="0">
      <fieldGroup base="0">
        <rangePr groupBy="months" startDate="2024-01-01T00:00:00" endDate="2024-07-01T00:00:00"/>
        <groupItems count="14">
          <s v="&lt;01-01-2024"/>
          <s v="Jan"/>
          <s v="Feb"/>
          <s v="Mar"/>
          <s v="Apr"/>
          <s v="May"/>
          <s v="Jun"/>
          <s v="Jul"/>
          <s v="Aug"/>
          <s v="Sep"/>
          <s v="Oct"/>
          <s v="Nov"/>
          <s v="Dec"/>
          <s v="&gt;01-07-2024"/>
        </groupItems>
      </fieldGroup>
    </cacheField>
  </cacheFields>
  <extLst>
    <ext xmlns:x14="http://schemas.microsoft.com/office/spreadsheetml/2009/9/main" uri="{725AE2AE-9491-48be-B2B4-4EB974FC3084}">
      <x14:pivotCacheDefinition pivotCacheId="15338118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d v="2024-01-01T00:00:00"/>
    <x v="0"/>
    <s v="Mangoes"/>
    <n v="456"/>
    <n v="93"/>
  </r>
  <r>
    <d v="2024-01-10T12:37:54"/>
    <x v="1"/>
    <s v="Oranges"/>
    <n v="348"/>
    <n v="56"/>
  </r>
  <r>
    <d v="2024-01-20T01:15:47"/>
    <x v="1"/>
    <s v="Mangoes"/>
    <n v="247"/>
    <n v="76"/>
  </r>
  <r>
    <d v="2024-01-29T13:53:41"/>
    <x v="0"/>
    <s v="Apples"/>
    <n v="230"/>
    <n v="37"/>
  </r>
  <r>
    <d v="2024-02-08T02:31:35"/>
    <x v="0"/>
    <s v="Mangoes"/>
    <n v="281"/>
    <n v="50"/>
  </r>
  <r>
    <d v="2024-02-17T15:09:28"/>
    <x v="0"/>
    <s v="Oranges"/>
    <n v="334"/>
    <n v="52"/>
  </r>
  <r>
    <d v="2024-02-27T03:47:22"/>
    <x v="1"/>
    <s v="Apples"/>
    <n v="417"/>
    <n v="29"/>
  </r>
  <r>
    <d v="2024-03-07T16:25:16"/>
    <x v="0"/>
    <s v="Apples"/>
    <n v="441"/>
    <n v="44"/>
  </r>
  <r>
    <d v="2024-03-17T05:03:09"/>
    <x v="1"/>
    <s v="Mangoes"/>
    <n v="76"/>
    <n v="63"/>
  </r>
  <r>
    <d v="2024-03-26T17:41:03"/>
    <x v="0"/>
    <s v="Oranges"/>
    <n v="441"/>
    <n v="79"/>
  </r>
  <r>
    <d v="2024-04-05T06:18:57"/>
    <x v="1"/>
    <s v="Mangoes"/>
    <n v="205"/>
    <n v="23"/>
  </r>
  <r>
    <d v="2024-04-14T18:56:51"/>
    <x v="0"/>
    <s v="Oranges"/>
    <n v="483"/>
    <n v="97"/>
  </r>
  <r>
    <d v="2024-04-24T07:34:44"/>
    <x v="2"/>
    <s v="Mangoes"/>
    <n v="467"/>
    <n v="97"/>
  </r>
  <r>
    <d v="2024-05-03T20:12:38"/>
    <x v="0"/>
    <s v="Mangoes"/>
    <n v="380"/>
    <n v="92"/>
  </r>
  <r>
    <d v="2024-05-13T08:50:32"/>
    <x v="1"/>
    <s v="Oranges"/>
    <n v="497"/>
    <n v="71"/>
  </r>
  <r>
    <d v="2024-05-22T21:28:25"/>
    <x v="1"/>
    <s v="Mangoes"/>
    <n v="409"/>
    <n v="81"/>
  </r>
  <r>
    <d v="2024-06-01T10:06:19"/>
    <x v="0"/>
    <s v="Oranges"/>
    <n v="53"/>
    <n v="45"/>
  </r>
  <r>
    <d v="2024-06-10T22:44:13"/>
    <x v="0"/>
    <s v="Apples"/>
    <n v="398"/>
    <n v="33"/>
  </r>
  <r>
    <d v="2024-06-20T11:22:06"/>
    <x v="3"/>
    <s v="Oranges"/>
    <n v="347"/>
    <n v="35"/>
  </r>
  <r>
    <d v="2024-06-30T00:00:00"/>
    <x v="1"/>
    <s v="Apples"/>
    <n v="319"/>
    <n v="4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s v="West"/>
    <s v="Mangoes"/>
    <n v="456"/>
    <n v="93"/>
  </r>
  <r>
    <x v="1"/>
    <s v="South"/>
    <s v="Oranges"/>
    <n v="348"/>
    <n v="56"/>
  </r>
  <r>
    <x v="2"/>
    <s v="South"/>
    <s v="Mangoes"/>
    <n v="247"/>
    <n v="76"/>
  </r>
  <r>
    <x v="3"/>
    <s v="West"/>
    <s v="Apples"/>
    <n v="230"/>
    <n v="37"/>
  </r>
  <r>
    <x v="4"/>
    <s v="West"/>
    <s v="Mangoes"/>
    <n v="281"/>
    <n v="50"/>
  </r>
  <r>
    <x v="5"/>
    <s v="West"/>
    <s v="Oranges"/>
    <n v="334"/>
    <n v="52"/>
  </r>
  <r>
    <x v="6"/>
    <s v="South"/>
    <s v="Apples"/>
    <n v="417"/>
    <n v="29"/>
  </r>
  <r>
    <x v="7"/>
    <s v="West"/>
    <s v="Apples"/>
    <n v="441"/>
    <n v="44"/>
  </r>
  <r>
    <x v="8"/>
    <s v="South"/>
    <s v="Mangoes"/>
    <n v="76"/>
    <n v="63"/>
  </r>
  <r>
    <x v="9"/>
    <s v="West"/>
    <s v="Oranges"/>
    <n v="441"/>
    <n v="79"/>
  </r>
  <r>
    <x v="10"/>
    <s v="South"/>
    <s v="Mangoes"/>
    <n v="205"/>
    <n v="23"/>
  </r>
  <r>
    <x v="11"/>
    <s v="West"/>
    <s v="Oranges"/>
    <n v="483"/>
    <n v="97"/>
  </r>
  <r>
    <x v="12"/>
    <s v="East"/>
    <s v="Mangoes"/>
    <n v="467"/>
    <n v="97"/>
  </r>
  <r>
    <x v="13"/>
    <s v="West"/>
    <s v="Mangoes"/>
    <n v="380"/>
    <n v="92"/>
  </r>
  <r>
    <x v="14"/>
    <s v="South"/>
    <s v="Oranges"/>
    <n v="497"/>
    <n v="71"/>
  </r>
  <r>
    <x v="15"/>
    <s v="South"/>
    <s v="Mangoes"/>
    <n v="409"/>
    <n v="81"/>
  </r>
  <r>
    <x v="16"/>
    <s v="West"/>
    <s v="Oranges"/>
    <n v="53"/>
    <n v="45"/>
  </r>
  <r>
    <x v="17"/>
    <s v="West"/>
    <s v="Apples"/>
    <n v="398"/>
    <n v="33"/>
  </r>
  <r>
    <x v="18"/>
    <s v="North"/>
    <s v="Oranges"/>
    <n v="347"/>
    <n v="35"/>
  </r>
  <r>
    <x v="19"/>
    <s v="South"/>
    <s v="Apples"/>
    <n v="319"/>
    <n v="4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x v="0"/>
    <n v="93"/>
  </r>
  <r>
    <x v="1"/>
    <x v="1"/>
    <x v="1"/>
    <x v="1"/>
    <n v="56"/>
  </r>
  <r>
    <x v="2"/>
    <x v="1"/>
    <x v="0"/>
    <x v="2"/>
    <n v="76"/>
  </r>
  <r>
    <x v="3"/>
    <x v="0"/>
    <x v="2"/>
    <x v="3"/>
    <n v="37"/>
  </r>
  <r>
    <x v="4"/>
    <x v="0"/>
    <x v="0"/>
    <x v="4"/>
    <n v="50"/>
  </r>
  <r>
    <x v="5"/>
    <x v="0"/>
    <x v="1"/>
    <x v="5"/>
    <n v="52"/>
  </r>
  <r>
    <x v="6"/>
    <x v="1"/>
    <x v="2"/>
    <x v="6"/>
    <n v="29"/>
  </r>
  <r>
    <x v="7"/>
    <x v="0"/>
    <x v="2"/>
    <x v="7"/>
    <n v="44"/>
  </r>
  <r>
    <x v="8"/>
    <x v="1"/>
    <x v="0"/>
    <x v="8"/>
    <n v="63"/>
  </r>
  <r>
    <x v="9"/>
    <x v="0"/>
    <x v="1"/>
    <x v="7"/>
    <n v="79"/>
  </r>
  <r>
    <x v="10"/>
    <x v="1"/>
    <x v="0"/>
    <x v="9"/>
    <n v="23"/>
  </r>
  <r>
    <x v="11"/>
    <x v="0"/>
    <x v="1"/>
    <x v="10"/>
    <n v="97"/>
  </r>
  <r>
    <x v="12"/>
    <x v="2"/>
    <x v="0"/>
    <x v="11"/>
    <n v="97"/>
  </r>
  <r>
    <x v="13"/>
    <x v="0"/>
    <x v="0"/>
    <x v="12"/>
    <n v="92"/>
  </r>
  <r>
    <x v="14"/>
    <x v="1"/>
    <x v="1"/>
    <x v="13"/>
    <n v="71"/>
  </r>
  <r>
    <x v="15"/>
    <x v="1"/>
    <x v="0"/>
    <x v="14"/>
    <n v="81"/>
  </r>
  <r>
    <x v="16"/>
    <x v="0"/>
    <x v="1"/>
    <x v="15"/>
    <n v="45"/>
  </r>
  <r>
    <x v="17"/>
    <x v="0"/>
    <x v="2"/>
    <x v="16"/>
    <n v="33"/>
  </r>
  <r>
    <x v="18"/>
    <x v="3"/>
    <x v="1"/>
    <x v="17"/>
    <n v="35"/>
  </r>
  <r>
    <x v="19"/>
    <x v="1"/>
    <x v="2"/>
    <x v="18"/>
    <n v="45"/>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s v="West"/>
    <s v="Mangoes"/>
    <n v="456"/>
    <n v="93"/>
  </r>
  <r>
    <x v="1"/>
    <s v="South"/>
    <s v="Oranges"/>
    <n v="348"/>
    <n v="56"/>
  </r>
  <r>
    <x v="2"/>
    <s v="South"/>
    <s v="Mangoes"/>
    <n v="247"/>
    <n v="76"/>
  </r>
  <r>
    <x v="3"/>
    <s v="West"/>
    <s v="Apples"/>
    <n v="230"/>
    <n v="37"/>
  </r>
  <r>
    <x v="4"/>
    <s v="West"/>
    <s v="Mangoes"/>
    <n v="281"/>
    <n v="50"/>
  </r>
  <r>
    <x v="5"/>
    <s v="West"/>
    <s v="Oranges"/>
    <n v="334"/>
    <n v="52"/>
  </r>
  <r>
    <x v="6"/>
    <s v="South"/>
    <s v="Apples"/>
    <n v="417"/>
    <n v="29"/>
  </r>
  <r>
    <x v="7"/>
    <s v="West"/>
    <s v="Apples"/>
    <n v="441"/>
    <n v="44"/>
  </r>
  <r>
    <x v="8"/>
    <s v="South"/>
    <s v="Mangoes"/>
    <n v="76"/>
    <n v="63"/>
  </r>
  <r>
    <x v="9"/>
    <s v="West"/>
    <s v="Oranges"/>
    <n v="441"/>
    <n v="79"/>
  </r>
  <r>
    <x v="10"/>
    <s v="South"/>
    <s v="Mangoes"/>
    <n v="205"/>
    <n v="23"/>
  </r>
  <r>
    <x v="11"/>
    <s v="West"/>
    <s v="Oranges"/>
    <n v="483"/>
    <n v="97"/>
  </r>
  <r>
    <x v="12"/>
    <s v="East"/>
    <s v="Mangoes"/>
    <n v="467"/>
    <n v="97"/>
  </r>
  <r>
    <x v="13"/>
    <s v="West"/>
    <s v="Mangoes"/>
    <n v="380"/>
    <n v="92"/>
  </r>
  <r>
    <x v="14"/>
    <s v="South"/>
    <s v="Oranges"/>
    <n v="497"/>
    <n v="71"/>
  </r>
  <r>
    <x v="15"/>
    <s v="South"/>
    <s v="Mangoes"/>
    <n v="409"/>
    <n v="81"/>
  </r>
  <r>
    <x v="16"/>
    <s v="West"/>
    <s v="Oranges"/>
    <n v="53"/>
    <n v="45"/>
  </r>
  <r>
    <x v="17"/>
    <s v="West"/>
    <s v="Apples"/>
    <n v="398"/>
    <n v="33"/>
  </r>
  <r>
    <x v="18"/>
    <s v="North"/>
    <s v="Oranges"/>
    <n v="347"/>
    <n v="35"/>
  </r>
  <r>
    <x v="19"/>
    <s v="South"/>
    <s v="Apples"/>
    <n v="319"/>
    <n v="45"/>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d v="2024-01-01T00:00:00"/>
    <s v="West"/>
    <x v="0"/>
    <n v="456"/>
    <n v="93"/>
  </r>
  <r>
    <d v="2024-01-10T12:37:54"/>
    <s v="South"/>
    <x v="1"/>
    <n v="348"/>
    <n v="56"/>
  </r>
  <r>
    <d v="2024-01-20T01:15:47"/>
    <s v="South"/>
    <x v="0"/>
    <n v="247"/>
    <n v="76"/>
  </r>
  <r>
    <d v="2024-01-29T13:53:41"/>
    <s v="West"/>
    <x v="2"/>
    <n v="230"/>
    <n v="37"/>
  </r>
  <r>
    <d v="2024-02-08T02:31:35"/>
    <s v="West"/>
    <x v="0"/>
    <n v="281"/>
    <n v="50"/>
  </r>
  <r>
    <d v="2024-02-17T15:09:28"/>
    <s v="West"/>
    <x v="1"/>
    <n v="334"/>
    <n v="52"/>
  </r>
  <r>
    <d v="2024-02-27T03:47:22"/>
    <s v="South"/>
    <x v="2"/>
    <n v="417"/>
    <n v="29"/>
  </r>
  <r>
    <d v="2024-03-07T16:25:16"/>
    <s v="West"/>
    <x v="2"/>
    <n v="441"/>
    <n v="44"/>
  </r>
  <r>
    <d v="2024-03-17T05:03:09"/>
    <s v="South"/>
    <x v="0"/>
    <n v="76"/>
    <n v="63"/>
  </r>
  <r>
    <d v="2024-03-26T17:41:03"/>
    <s v="West"/>
    <x v="1"/>
    <n v="441"/>
    <n v="79"/>
  </r>
  <r>
    <d v="2024-04-05T06:18:57"/>
    <s v="South"/>
    <x v="0"/>
    <n v="205"/>
    <n v="23"/>
  </r>
  <r>
    <d v="2024-04-14T18:56:51"/>
    <s v="West"/>
    <x v="1"/>
    <n v="483"/>
    <n v="97"/>
  </r>
  <r>
    <d v="2024-04-24T07:34:44"/>
    <s v="East"/>
    <x v="0"/>
    <n v="467"/>
    <n v="97"/>
  </r>
  <r>
    <d v="2024-05-03T20:12:38"/>
    <s v="West"/>
    <x v="0"/>
    <n v="380"/>
    <n v="92"/>
  </r>
  <r>
    <d v="2024-05-13T08:50:32"/>
    <s v="South"/>
    <x v="1"/>
    <n v="497"/>
    <n v="71"/>
  </r>
  <r>
    <d v="2024-05-22T21:28:25"/>
    <s v="South"/>
    <x v="0"/>
    <n v="409"/>
    <n v="81"/>
  </r>
  <r>
    <d v="2024-06-01T10:06:19"/>
    <s v="West"/>
    <x v="1"/>
    <n v="53"/>
    <n v="45"/>
  </r>
  <r>
    <d v="2024-06-10T22:44:13"/>
    <s v="West"/>
    <x v="2"/>
    <n v="398"/>
    <n v="33"/>
  </r>
  <r>
    <d v="2024-06-20T11:22:06"/>
    <s v="North"/>
    <x v="1"/>
    <n v="347"/>
    <n v="35"/>
  </r>
  <r>
    <d v="2024-06-30T00:00:00"/>
    <s v="South"/>
    <x v="2"/>
    <n v="319"/>
    <n v="45"/>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n v="456"/>
    <n v="93"/>
  </r>
  <r>
    <x v="1"/>
    <x v="1"/>
    <x v="1"/>
    <n v="348"/>
    <n v="56"/>
  </r>
  <r>
    <x v="2"/>
    <x v="1"/>
    <x v="0"/>
    <n v="247"/>
    <n v="76"/>
  </r>
  <r>
    <x v="3"/>
    <x v="0"/>
    <x v="2"/>
    <n v="230"/>
    <n v="37"/>
  </r>
  <r>
    <x v="4"/>
    <x v="0"/>
    <x v="0"/>
    <n v="281"/>
    <n v="50"/>
  </r>
  <r>
    <x v="5"/>
    <x v="0"/>
    <x v="1"/>
    <n v="334"/>
    <n v="52"/>
  </r>
  <r>
    <x v="6"/>
    <x v="1"/>
    <x v="2"/>
    <n v="417"/>
    <n v="29"/>
  </r>
  <r>
    <x v="7"/>
    <x v="0"/>
    <x v="2"/>
    <n v="441"/>
    <n v="44"/>
  </r>
  <r>
    <x v="8"/>
    <x v="1"/>
    <x v="0"/>
    <n v="76"/>
    <n v="63"/>
  </r>
  <r>
    <x v="9"/>
    <x v="0"/>
    <x v="1"/>
    <n v="441"/>
    <n v="79"/>
  </r>
  <r>
    <x v="10"/>
    <x v="1"/>
    <x v="0"/>
    <n v="205"/>
    <n v="23"/>
  </r>
  <r>
    <x v="11"/>
    <x v="0"/>
    <x v="1"/>
    <n v="483"/>
    <n v="97"/>
  </r>
  <r>
    <x v="12"/>
    <x v="2"/>
    <x v="0"/>
    <n v="467"/>
    <n v="97"/>
  </r>
  <r>
    <x v="13"/>
    <x v="0"/>
    <x v="0"/>
    <n v="380"/>
    <n v="92"/>
  </r>
  <r>
    <x v="14"/>
    <x v="1"/>
    <x v="1"/>
    <n v="497"/>
    <n v="71"/>
  </r>
  <r>
    <x v="15"/>
    <x v="1"/>
    <x v="0"/>
    <n v="409"/>
    <n v="81"/>
  </r>
  <r>
    <x v="16"/>
    <x v="0"/>
    <x v="1"/>
    <n v="53"/>
    <n v="45"/>
  </r>
  <r>
    <x v="17"/>
    <x v="0"/>
    <x v="2"/>
    <n v="398"/>
    <n v="33"/>
  </r>
  <r>
    <x v="18"/>
    <x v="3"/>
    <x v="1"/>
    <n v="347"/>
    <n v="35"/>
  </r>
  <r>
    <x v="19"/>
    <x v="1"/>
    <x v="2"/>
    <n v="319"/>
    <n v="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096C2A1-5287-4BF4-A16B-B24E63EE6DB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4:J9" firstHeaderRow="1" firstDataRow="1" firstDataCol="1"/>
  <pivotFields count="5">
    <pivotField numFmtId="164" showAll="0"/>
    <pivotField axis="axisRow" showAll="0">
      <items count="5">
        <item x="2"/>
        <item x="3"/>
        <item x="1"/>
        <item x="0"/>
        <item t="default"/>
      </items>
    </pivotField>
    <pivotField showAll="0"/>
    <pivotField dataField="1" showAll="0"/>
    <pivotField showAll="0"/>
  </pivotFields>
  <rowFields count="1">
    <field x="1"/>
  </rowFields>
  <rowItems count="5">
    <i>
      <x/>
    </i>
    <i>
      <x v="1"/>
    </i>
    <i>
      <x v="2"/>
    </i>
    <i>
      <x v="3"/>
    </i>
    <i t="grand">
      <x/>
    </i>
  </rowItems>
  <colItems count="1">
    <i/>
  </colItems>
  <dataFields count="1">
    <dataField name="Sum of Sales" fld="3" baseField="0" baseItem="0"/>
  </dataFields>
  <formats count="4">
    <format dxfId="24">
      <pivotArea dataOnly="0" fieldPosition="0">
        <references count="1">
          <reference field="1" count="0"/>
        </references>
      </pivotArea>
    </format>
    <format dxfId="23">
      <pivotArea dataOnly="0" fieldPosition="0">
        <references count="1">
          <reference field="1" count="0"/>
        </references>
      </pivotArea>
    </format>
    <format dxfId="22">
      <pivotArea grandRow="1" outline="0" collapsedLevelsAreSubtotals="1" fieldPosition="0"/>
    </format>
    <format dxfId="21">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18CDC49-3C29-4166-9BE1-0D16825AAD2A}"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H5:I12" firstHeaderRow="1" firstDataRow="1" firstDataCol="1"/>
  <pivotFields count="7">
    <pivotField axis="axisRow" numFmtId="164" showAll="0">
      <items count="21">
        <item x="0"/>
        <item x="1"/>
        <item x="2"/>
        <item x="3"/>
        <item x="4"/>
        <item x="5"/>
        <item x="6"/>
        <item x="7"/>
        <item x="8"/>
        <item x="9"/>
        <item x="10"/>
        <item x="11"/>
        <item x="12"/>
        <item x="13"/>
        <item x="14"/>
        <item x="15"/>
        <item x="16"/>
        <item x="17"/>
        <item x="18"/>
        <item x="19"/>
        <item t="default"/>
      </items>
    </pivotField>
    <pivotField showAll="0"/>
    <pivotField showAll="0"/>
    <pivotField dataField="1"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6"/>
    <field x="5"/>
    <field x="0"/>
  </rowFields>
  <rowItems count="7">
    <i>
      <x v="1"/>
    </i>
    <i>
      <x v="2"/>
    </i>
    <i>
      <x v="3"/>
    </i>
    <i>
      <x v="4"/>
    </i>
    <i>
      <x v="5"/>
    </i>
    <i>
      <x v="6"/>
    </i>
    <i t="grand">
      <x/>
    </i>
  </rowItems>
  <colItems count="1">
    <i/>
  </colItems>
  <dataFields count="1">
    <dataField name="Sum of Sales" fld="3" baseField="0" baseItem="0"/>
  </dataFields>
  <chartFormats count="1">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9EEC9F-EA73-441D-91ED-5216FC6A44EB}" name="PivotTable3"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6:I8" firstHeaderRow="1" firstDataRow="1" firstDataCol="1"/>
  <pivotFields count="7">
    <pivotField numFmtId="164" showAll="0">
      <items count="21">
        <item h="1" x="0"/>
        <item h="1" x="1"/>
        <item h="1" x="2"/>
        <item h="1" x="3"/>
        <item h="1" x="4"/>
        <item x="5"/>
        <item h="1" x="6"/>
        <item h="1" x="7"/>
        <item h="1" x="8"/>
        <item h="1" x="9"/>
        <item h="1" x="10"/>
        <item h="1" x="11"/>
        <item h="1" x="12"/>
        <item h="1" x="13"/>
        <item h="1" x="14"/>
        <item h="1" x="15"/>
        <item h="1" x="16"/>
        <item h="1" x="17"/>
        <item h="1" x="18"/>
        <item h="1" x="19"/>
        <item t="default"/>
      </items>
    </pivotField>
    <pivotField showAll="0">
      <items count="5">
        <item x="2"/>
        <item x="3"/>
        <item x="1"/>
        <item x="0"/>
        <item t="default"/>
      </items>
    </pivotField>
    <pivotField axis="axisRow" showAll="0">
      <items count="4">
        <item h="1" x="2"/>
        <item h="1" x="0"/>
        <item x="1"/>
        <item t="default"/>
      </items>
    </pivotField>
    <pivotField dataField="1" showAll="0">
      <items count="20">
        <item x="15"/>
        <item x="8"/>
        <item x="9"/>
        <item x="3"/>
        <item x="2"/>
        <item x="4"/>
        <item x="18"/>
        <item x="5"/>
        <item x="17"/>
        <item x="1"/>
        <item x="12"/>
        <item x="16"/>
        <item x="14"/>
        <item x="6"/>
        <item x="7"/>
        <item x="0"/>
        <item x="11"/>
        <item x="10"/>
        <item x="13"/>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2">
    <i>
      <x v="2"/>
    </i>
    <i t="grand">
      <x/>
    </i>
  </rowItems>
  <colItems count="1">
    <i/>
  </colItem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5C2D2DB-0127-4005-B236-8D4F36A6E3CF}" name="PivotTable4"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M16:N22" firstHeaderRow="1" firstDataRow="1" firstDataCol="1"/>
  <pivotFields count="6">
    <pivotField numFmtId="164" showAll="0">
      <items count="21">
        <item x="0"/>
        <item x="1"/>
        <item x="2"/>
        <item x="3"/>
        <item x="4"/>
        <item x="5"/>
        <item x="6"/>
        <item x="7"/>
        <item x="8"/>
        <item x="9"/>
        <item x="10"/>
        <item x="11"/>
        <item x="12"/>
        <item x="13"/>
        <item x="14"/>
        <item x="15"/>
        <item x="16"/>
        <item x="17"/>
        <item x="18"/>
        <item x="19"/>
        <item t="default"/>
      </items>
    </pivotField>
    <pivotField showAll="0"/>
    <pivotField showAll="0">
      <items count="4">
        <item h="1" x="2"/>
        <item x="0"/>
        <item h="1" x="1"/>
        <item t="default"/>
      </items>
    </pivotField>
    <pivotField dataField="1" showAll="0"/>
    <pivotField showAll="0"/>
    <pivotField axis="axisRow" showAll="0">
      <items count="15">
        <item x="0"/>
        <item x="1"/>
        <item x="2"/>
        <item x="3"/>
        <item x="4"/>
        <item x="5"/>
        <item x="6"/>
        <item x="7"/>
        <item x="8"/>
        <item x="9"/>
        <item x="10"/>
        <item x="11"/>
        <item x="12"/>
        <item x="13"/>
        <item t="default"/>
      </items>
    </pivotField>
  </pivotFields>
  <rowFields count="1">
    <field x="5"/>
  </rowFields>
  <rowItems count="6">
    <i>
      <x v="1"/>
    </i>
    <i>
      <x v="2"/>
    </i>
    <i>
      <x v="3"/>
    </i>
    <i>
      <x v="4"/>
    </i>
    <i>
      <x v="5"/>
    </i>
    <i t="grand">
      <x/>
    </i>
  </rowItems>
  <colItems count="1">
    <i/>
  </colItems>
  <dataFields count="1">
    <dataField name="Sum of Sales"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535526A-8382-427C-A2E2-0D45B6FF219A}" name="PivotTable3"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E17:F21" firstHeaderRow="1" firstDataRow="1" firstDataCol="1"/>
  <pivotFields count="6">
    <pivotField numFmtId="164" showAll="0">
      <items count="21">
        <item x="0"/>
        <item x="1"/>
        <item x="2"/>
        <item x="3"/>
        <item x="4"/>
        <item x="5"/>
        <item x="6"/>
        <item x="7"/>
        <item x="8"/>
        <item x="9"/>
        <item x="10"/>
        <item x="11"/>
        <item x="12"/>
        <item x="13"/>
        <item x="14"/>
        <item x="15"/>
        <item x="16"/>
        <item x="17"/>
        <item x="18"/>
        <item x="19"/>
        <item t="default"/>
      </items>
    </pivotField>
    <pivotField axis="axisRow" showAll="0">
      <items count="5">
        <item x="2"/>
        <item x="3"/>
        <item x="1"/>
        <item x="0"/>
        <item t="default"/>
      </items>
    </pivotField>
    <pivotField showAll="0">
      <items count="4">
        <item h="1" x="2"/>
        <item x="0"/>
        <item h="1" x="1"/>
        <item t="default"/>
      </items>
    </pivotField>
    <pivotField dataField="1" showAll="0"/>
    <pivotField showAll="0"/>
    <pivotField showAll="0">
      <items count="15">
        <item x="0"/>
        <item x="1"/>
        <item x="2"/>
        <item x="3"/>
        <item x="4"/>
        <item x="5"/>
        <item x="6"/>
        <item x="7"/>
        <item x="8"/>
        <item x="9"/>
        <item x="10"/>
        <item x="11"/>
        <item x="12"/>
        <item x="13"/>
        <item t="default"/>
      </items>
    </pivotField>
  </pivotFields>
  <rowFields count="1">
    <field x="1"/>
  </rowFields>
  <rowItems count="4">
    <i>
      <x/>
    </i>
    <i>
      <x v="2"/>
    </i>
    <i>
      <x v="3"/>
    </i>
    <i t="grand">
      <x/>
    </i>
  </rowItems>
  <colItems count="1">
    <i/>
  </colItems>
  <dataFields count="1">
    <dataField name="Sum of Sales" fld="3"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FBC2A62-4D44-469D-934D-1A36F0103CFE}" name="PivotTable6"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7:I18" firstHeaderRow="1" firstDataRow="1" firstDataCol="1"/>
  <pivotFields count="7">
    <pivotField axis="axisRow" numFmtId="164" showAll="0">
      <items count="21">
        <item x="0"/>
        <item x="1"/>
        <item x="2"/>
        <item x="3"/>
        <item x="4"/>
        <item x="5"/>
        <item x="6"/>
        <item x="7"/>
        <item x="8"/>
        <item x="9"/>
        <item x="10"/>
        <item x="11"/>
        <item x="12"/>
        <item x="13"/>
        <item x="14"/>
        <item x="15"/>
        <item x="16"/>
        <item x="17"/>
        <item x="18"/>
        <item x="19"/>
        <item t="default"/>
      </items>
    </pivotField>
    <pivotField showAll="0"/>
    <pivotField showAll="0"/>
    <pivotField dataField="1"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x="1"/>
        <item sd="0" x="2"/>
        <item sd="0" x="3"/>
        <item sd="0" x="4"/>
        <item sd="0" x="5"/>
        <item sd="0" x="6"/>
        <item sd="0" x="7"/>
        <item sd="0" x="8"/>
        <item sd="0" x="9"/>
        <item sd="0" x="10"/>
        <item sd="0" x="11"/>
        <item sd="0" x="12"/>
        <item sd="0" x="13"/>
        <item t="default"/>
      </items>
    </pivotField>
  </pivotFields>
  <rowFields count="3">
    <field x="6"/>
    <field x="5"/>
    <field x="0"/>
  </rowFields>
  <rowItems count="11">
    <i>
      <x v="1"/>
    </i>
    <i r="1">
      <x v="1"/>
    </i>
    <i r="1">
      <x v="10"/>
    </i>
    <i r="1">
      <x v="20"/>
    </i>
    <i r="1">
      <x v="29"/>
    </i>
    <i>
      <x v="2"/>
    </i>
    <i>
      <x v="3"/>
    </i>
    <i>
      <x v="4"/>
    </i>
    <i>
      <x v="5"/>
    </i>
    <i>
      <x v="6"/>
    </i>
    <i t="grand">
      <x/>
    </i>
  </rowItems>
  <colItems count="1">
    <i/>
  </colItems>
  <dataFields count="1">
    <dataField name="Average of Sales" fld="3" subtotal="average" baseField="6" baseItem="1"/>
  </dataFields>
  <formats count="10">
    <format dxfId="1">
      <pivotArea type="all" dataOnly="0" outline="0" fieldPosition="0"/>
    </format>
    <format dxfId="2">
      <pivotArea outline="0" collapsedLevelsAreSubtotals="1" fieldPosition="0"/>
    </format>
    <format dxfId="3">
      <pivotArea field="6" type="button" dataOnly="0" labelOnly="1" outline="0" axis="axisRow" fieldPosition="0"/>
    </format>
    <format dxfId="4">
      <pivotArea dataOnly="0" labelOnly="1" grandRow="1" outline="0" fieldPosition="0"/>
    </format>
    <format dxfId="5">
      <pivotArea dataOnly="0" labelOnly="1" outline="0" axis="axisValues" fieldPosition="0"/>
    </format>
    <format dxfId="6">
      <pivotArea type="all" dataOnly="0" outline="0" fieldPosition="0"/>
    </format>
    <format dxfId="7">
      <pivotArea outline="0" collapsedLevelsAreSubtotals="1" fieldPosition="0"/>
    </format>
    <format dxfId="8">
      <pivotArea field="6" type="button" dataOnly="0" labelOnly="1" outline="0" axis="axisRow" fieldPosition="0"/>
    </format>
    <format dxfId="9">
      <pivotArea dataOnly="0" labelOnly="1" grandRow="1" outline="0" fieldPosition="0"/>
    </format>
    <format dxfId="1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2D0D09B-A848-4661-95FD-2303DAEEA90A}" name="PivotTable1"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1:I14" firstHeaderRow="1" firstDataRow="1" firstDataCol="1"/>
  <pivotFields count="6">
    <pivotField numFmtId="164" showAll="0"/>
    <pivotField showAll="0"/>
    <pivotField axis="axisRow" showAll="0">
      <items count="4">
        <item x="2"/>
        <item x="0"/>
        <item x="1"/>
        <item t="default"/>
      </items>
    </pivotField>
    <pivotField dataField="1" showAll="0"/>
    <pivotField showAll="0"/>
    <pivotField axis="axisRow" showAll="0">
      <items count="3">
        <item n="Fruits" sd="0" x="1"/>
        <item sd="0" x="0"/>
        <item t="default"/>
      </items>
    </pivotField>
  </pivotFields>
  <rowFields count="2">
    <field x="5"/>
    <field x="2"/>
  </rowFields>
  <rowItems count="3">
    <i>
      <x/>
    </i>
    <i>
      <x v="1"/>
    </i>
    <i t="grand">
      <x/>
    </i>
  </rowItems>
  <colItems count="1">
    <i/>
  </colItem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897A6334-E3B4-440D-994A-E69A22A85C1E}" sourceName="Product">
  <pivotTables>
    <pivotTable tabId="6" name="PivotTable3"/>
  </pivotTables>
  <data>
    <tabular pivotCacheId="974874221">
      <items count="3">
        <i x="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09BC4CAE-D806-4198-9724-2A6AF03E6570}" sourceName="Product">
  <pivotTables>
    <pivotTable tabId="8" name="PivotTable3"/>
    <pivotTable tabId="8" name="PivotTable4"/>
  </pivotTables>
  <data>
    <tabular pivotCacheId="1533811887">
      <items count="3">
        <i x="2"/>
        <i x="0"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B0BC6C7D-FC4F-43A4-83D2-534E1B7A7555}" cache="Slicer_Product1" caption="Product"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436ACB4B-3B2E-437C-918C-094A94918402}" cache="Slicer_Product" caption="Product"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2189A35-0C49-405C-A596-40AA839F1D82}" name="Table2" displayName="Table2" ref="B6:F26" totalsRowShown="0" headerRowDxfId="11" dataDxfId="12" headerRowBorderDxfId="19" tableBorderDxfId="20" totalsRowBorderDxfId="18">
  <autoFilter ref="B6:F26" xr:uid="{A2189A35-0C49-405C-A596-40AA839F1D82}"/>
  <tableColumns count="5">
    <tableColumn id="1" xr3:uid="{843F0BB3-EE48-4A6E-AD41-7108040FBB05}" name="Date" dataDxfId="17"/>
    <tableColumn id="2" xr3:uid="{6EDA4167-88D9-4540-8A19-5B79E418CEA7}" name="Region" dataDxfId="16"/>
    <tableColumn id="3" xr3:uid="{788E9E4C-8FD1-4558-B019-A925DC3E349F}" name="Product" dataDxfId="15"/>
    <tableColumn id="4" xr3:uid="{9EC9D9BF-0AC3-4427-BA05-BEE30C3E3FD5}" name="Sales" dataDxfId="14"/>
    <tableColumn id="5" xr3:uid="{8C0944A6-927C-494A-87CE-DD7373C770D7}" name="Quantity" dataDxfId="13"/>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ivotTable" Target="../pivotTables/pivotTable3.xml"/><Relationship Id="rId4" Type="http://schemas.microsoft.com/office/2007/relationships/slicer" Target="../slicers/slicer1.xml"/></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5.xml"/><Relationship Id="rId1" Type="http://schemas.openxmlformats.org/officeDocument/2006/relationships/pivotTable" Target="../pivotTables/pivotTable4.xml"/><Relationship Id="rId5" Type="http://schemas.microsoft.com/office/2007/relationships/slicer" Target="../slicers/slicer2.xml"/><Relationship Id="rId4"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39DF9-4A92-41A7-BC88-D4FAC2FA580A}">
  <dimension ref="A2:M5"/>
  <sheetViews>
    <sheetView workbookViewId="0">
      <selection activeCell="E12" sqref="E12"/>
    </sheetView>
  </sheetViews>
  <sheetFormatPr defaultRowHeight="14.4" x14ac:dyDescent="0.3"/>
  <sheetData>
    <row r="2" spans="1:13" x14ac:dyDescent="0.3">
      <c r="A2" t="s">
        <v>1</v>
      </c>
      <c r="B2" s="23" t="s">
        <v>0</v>
      </c>
      <c r="C2" s="23"/>
      <c r="D2" s="23"/>
      <c r="E2" s="23"/>
      <c r="F2" s="23"/>
      <c r="G2" s="23"/>
    </row>
    <row r="3" spans="1:13" x14ac:dyDescent="0.3">
      <c r="A3" t="s">
        <v>2</v>
      </c>
      <c r="B3" s="22" t="s">
        <v>3</v>
      </c>
      <c r="C3" s="22"/>
      <c r="D3" s="22"/>
      <c r="E3" s="22"/>
      <c r="F3" s="22"/>
      <c r="G3" s="22"/>
      <c r="H3" s="22"/>
      <c r="I3" s="22"/>
      <c r="J3" s="22"/>
      <c r="K3" s="22"/>
      <c r="L3" s="22"/>
      <c r="M3" s="22"/>
    </row>
    <row r="4" spans="1:13" x14ac:dyDescent="0.3">
      <c r="B4" s="22"/>
      <c r="C4" s="22"/>
      <c r="D4" s="22"/>
      <c r="E4" s="22"/>
      <c r="F4" s="22"/>
      <c r="G4" s="22"/>
      <c r="H4" s="22"/>
      <c r="I4" s="22"/>
      <c r="J4" s="22"/>
      <c r="K4" s="22"/>
      <c r="L4" s="22"/>
      <c r="M4" s="22"/>
    </row>
    <row r="5" spans="1:13" x14ac:dyDescent="0.3">
      <c r="B5" s="22"/>
      <c r="C5" s="22"/>
      <c r="D5" s="22"/>
      <c r="E5" s="22"/>
      <c r="F5" s="22"/>
      <c r="G5" s="22"/>
      <c r="H5" s="22"/>
      <c r="I5" s="22"/>
      <c r="J5" s="22"/>
      <c r="K5" s="22"/>
      <c r="L5" s="22"/>
      <c r="M5" s="22"/>
    </row>
  </sheetData>
  <mergeCells count="2">
    <mergeCell ref="B3:M5"/>
    <mergeCell ref="B2:G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51F92B-0644-499C-8BF0-907FCA3AD8D8}">
  <dimension ref="A2:V24"/>
  <sheetViews>
    <sheetView workbookViewId="0">
      <selection activeCell="B1" sqref="B1:F1048576"/>
    </sheetView>
  </sheetViews>
  <sheetFormatPr defaultRowHeight="14.4" x14ac:dyDescent="0.3"/>
  <cols>
    <col min="2" max="2" width="10.33203125" style="53" bestFit="1" customWidth="1"/>
    <col min="3" max="3" width="6.77734375" bestFit="1" customWidth="1"/>
    <col min="4" max="4" width="8.44140625" bestFit="1" customWidth="1"/>
    <col min="5" max="5" width="5.21875" bestFit="1" customWidth="1"/>
    <col min="6" max="6" width="8.33203125" bestFit="1" customWidth="1"/>
    <col min="9" max="9" width="12.5546875" bestFit="1" customWidth="1"/>
    <col min="10" max="10" width="11.6640625" bestFit="1" customWidth="1"/>
    <col min="22" max="22" width="25.109375" customWidth="1"/>
  </cols>
  <sheetData>
    <row r="2" spans="1:22" x14ac:dyDescent="0.3">
      <c r="A2" s="6" t="s">
        <v>4</v>
      </c>
      <c r="B2" s="24" t="s">
        <v>5</v>
      </c>
      <c r="C2" s="24"/>
      <c r="D2" s="24"/>
      <c r="E2" s="24"/>
      <c r="F2" s="24"/>
      <c r="G2" s="24"/>
      <c r="H2" s="24"/>
      <c r="I2" s="24"/>
    </row>
    <row r="4" spans="1:22" x14ac:dyDescent="0.3">
      <c r="A4" t="s">
        <v>2</v>
      </c>
      <c r="B4" s="51" t="s">
        <v>6</v>
      </c>
      <c r="C4" s="7" t="s">
        <v>7</v>
      </c>
      <c r="D4" s="7" t="s">
        <v>8</v>
      </c>
      <c r="E4" s="7" t="s">
        <v>9</v>
      </c>
      <c r="F4" s="7" t="s">
        <v>10</v>
      </c>
      <c r="I4" s="3" t="s">
        <v>18</v>
      </c>
      <c r="J4" t="s">
        <v>20</v>
      </c>
      <c r="L4" s="25" t="s">
        <v>21</v>
      </c>
      <c r="M4" s="25"/>
      <c r="N4" s="25"/>
      <c r="O4" s="25"/>
      <c r="P4" s="25"/>
      <c r="Q4" s="25"/>
      <c r="R4" s="25"/>
      <c r="S4" s="25"/>
      <c r="T4" s="25"/>
      <c r="U4" s="25"/>
      <c r="V4" s="25"/>
    </row>
    <row r="5" spans="1:22" x14ac:dyDescent="0.3">
      <c r="B5" s="52">
        <v>45292</v>
      </c>
      <c r="C5" s="9" t="s">
        <v>11</v>
      </c>
      <c r="D5" s="9" t="s">
        <v>12</v>
      </c>
      <c r="E5" s="9">
        <v>456</v>
      </c>
      <c r="F5" s="9">
        <v>93</v>
      </c>
      <c r="I5" s="11" t="s">
        <v>16</v>
      </c>
      <c r="J5" s="9">
        <v>467</v>
      </c>
      <c r="L5" s="25" t="s">
        <v>22</v>
      </c>
      <c r="M5" s="25"/>
      <c r="N5" s="25"/>
      <c r="O5" s="25"/>
      <c r="P5" s="25"/>
      <c r="Q5" s="25"/>
      <c r="R5" s="25"/>
      <c r="S5" s="25"/>
      <c r="T5" s="25"/>
      <c r="U5" s="25"/>
      <c r="V5" s="5"/>
    </row>
    <row r="6" spans="1:22" x14ac:dyDescent="0.3">
      <c r="B6" s="52">
        <v>45301.526315789473</v>
      </c>
      <c r="C6" s="9" t="s">
        <v>13</v>
      </c>
      <c r="D6" s="9" t="s">
        <v>14</v>
      </c>
      <c r="E6" s="9">
        <v>348</v>
      </c>
      <c r="F6" s="9">
        <v>56</v>
      </c>
      <c r="I6" s="11" t="s">
        <v>17</v>
      </c>
      <c r="J6" s="9">
        <v>347</v>
      </c>
    </row>
    <row r="7" spans="1:22" x14ac:dyDescent="0.3">
      <c r="B7" s="52">
        <v>45311.052631578947</v>
      </c>
      <c r="C7" s="9" t="s">
        <v>13</v>
      </c>
      <c r="D7" s="9" t="s">
        <v>12</v>
      </c>
      <c r="E7" s="9">
        <v>247</v>
      </c>
      <c r="F7" s="9">
        <v>76</v>
      </c>
      <c r="I7" s="11" t="s">
        <v>13</v>
      </c>
      <c r="J7" s="9">
        <v>2518</v>
      </c>
    </row>
    <row r="8" spans="1:22" x14ac:dyDescent="0.3">
      <c r="B8" s="52">
        <v>45320.578947368413</v>
      </c>
      <c r="C8" s="9" t="s">
        <v>11</v>
      </c>
      <c r="D8" s="9" t="s">
        <v>15</v>
      </c>
      <c r="E8" s="9">
        <v>230</v>
      </c>
      <c r="F8" s="9">
        <v>37</v>
      </c>
      <c r="I8" s="11" t="s">
        <v>11</v>
      </c>
      <c r="J8" s="9">
        <v>3497</v>
      </c>
    </row>
    <row r="9" spans="1:22" x14ac:dyDescent="0.3">
      <c r="B9" s="52">
        <v>45330.105263157893</v>
      </c>
      <c r="C9" s="9" t="s">
        <v>11</v>
      </c>
      <c r="D9" s="9" t="s">
        <v>12</v>
      </c>
      <c r="E9" s="9">
        <v>281</v>
      </c>
      <c r="F9" s="9">
        <v>50</v>
      </c>
      <c r="I9" s="10" t="s">
        <v>19</v>
      </c>
      <c r="J9" s="2">
        <v>6829</v>
      </c>
    </row>
    <row r="10" spans="1:22" x14ac:dyDescent="0.3">
      <c r="B10" s="52">
        <v>45339.631578947359</v>
      </c>
      <c r="C10" s="9" t="s">
        <v>11</v>
      </c>
      <c r="D10" s="9" t="s">
        <v>14</v>
      </c>
      <c r="E10" s="9">
        <v>334</v>
      </c>
      <c r="F10" s="9">
        <v>52</v>
      </c>
    </row>
    <row r="11" spans="1:22" x14ac:dyDescent="0.3">
      <c r="B11" s="52">
        <v>45349.15789473684</v>
      </c>
      <c r="C11" s="9" t="s">
        <v>13</v>
      </c>
      <c r="D11" s="9" t="s">
        <v>15</v>
      </c>
      <c r="E11" s="9">
        <v>417</v>
      </c>
      <c r="F11" s="9">
        <v>29</v>
      </c>
    </row>
    <row r="12" spans="1:22" x14ac:dyDescent="0.3">
      <c r="B12" s="52">
        <v>45358.684210526313</v>
      </c>
      <c r="C12" s="9" t="s">
        <v>11</v>
      </c>
      <c r="D12" s="9" t="s">
        <v>15</v>
      </c>
      <c r="E12" s="9">
        <v>441</v>
      </c>
      <c r="F12" s="9">
        <v>44</v>
      </c>
    </row>
    <row r="13" spans="1:22" x14ac:dyDescent="0.3">
      <c r="B13" s="52">
        <v>45368.210526315786</v>
      </c>
      <c r="C13" s="9" t="s">
        <v>13</v>
      </c>
      <c r="D13" s="9" t="s">
        <v>12</v>
      </c>
      <c r="E13" s="9">
        <v>76</v>
      </c>
      <c r="F13" s="9">
        <v>63</v>
      </c>
    </row>
    <row r="14" spans="1:22" x14ac:dyDescent="0.3">
      <c r="B14" s="52">
        <v>45377.736842105252</v>
      </c>
      <c r="C14" s="9" t="s">
        <v>11</v>
      </c>
      <c r="D14" s="9" t="s">
        <v>14</v>
      </c>
      <c r="E14" s="9">
        <v>441</v>
      </c>
      <c r="F14" s="9">
        <v>79</v>
      </c>
    </row>
    <row r="15" spans="1:22" x14ac:dyDescent="0.3">
      <c r="B15" s="52">
        <v>45387.263157894733</v>
      </c>
      <c r="C15" s="9" t="s">
        <v>13</v>
      </c>
      <c r="D15" s="9" t="s">
        <v>12</v>
      </c>
      <c r="E15" s="9">
        <v>205</v>
      </c>
      <c r="F15" s="9">
        <v>23</v>
      </c>
    </row>
    <row r="16" spans="1:22" x14ac:dyDescent="0.3">
      <c r="B16" s="52">
        <v>45396.789473684199</v>
      </c>
      <c r="C16" s="9" t="s">
        <v>11</v>
      </c>
      <c r="D16" s="9" t="s">
        <v>14</v>
      </c>
      <c r="E16" s="9">
        <v>483</v>
      </c>
      <c r="F16" s="9">
        <v>97</v>
      </c>
    </row>
    <row r="17" spans="2:6" x14ac:dyDescent="0.3">
      <c r="B17" s="52">
        <v>45406.31578947368</v>
      </c>
      <c r="C17" s="9" t="s">
        <v>16</v>
      </c>
      <c r="D17" s="9" t="s">
        <v>12</v>
      </c>
      <c r="E17" s="9">
        <v>467</v>
      </c>
      <c r="F17" s="9">
        <v>97</v>
      </c>
    </row>
    <row r="18" spans="2:6" x14ac:dyDescent="0.3">
      <c r="B18" s="52">
        <v>45415.842105263153</v>
      </c>
      <c r="C18" s="9" t="s">
        <v>11</v>
      </c>
      <c r="D18" s="9" t="s">
        <v>12</v>
      </c>
      <c r="E18" s="9">
        <v>380</v>
      </c>
      <c r="F18" s="9">
        <v>92</v>
      </c>
    </row>
    <row r="19" spans="2:6" x14ac:dyDescent="0.3">
      <c r="B19" s="52">
        <v>45425.368421052633</v>
      </c>
      <c r="C19" s="9" t="s">
        <v>13</v>
      </c>
      <c r="D19" s="9" t="s">
        <v>14</v>
      </c>
      <c r="E19" s="9">
        <v>497</v>
      </c>
      <c r="F19" s="9">
        <v>71</v>
      </c>
    </row>
    <row r="20" spans="2:6" x14ac:dyDescent="0.3">
      <c r="B20" s="52">
        <v>45434.894736842092</v>
      </c>
      <c r="C20" s="9" t="s">
        <v>13</v>
      </c>
      <c r="D20" s="9" t="s">
        <v>12</v>
      </c>
      <c r="E20" s="9">
        <v>409</v>
      </c>
      <c r="F20" s="9">
        <v>81</v>
      </c>
    </row>
    <row r="21" spans="2:6" x14ac:dyDescent="0.3">
      <c r="B21" s="52">
        <v>45444.421052631573</v>
      </c>
      <c r="C21" s="9" t="s">
        <v>11</v>
      </c>
      <c r="D21" s="9" t="s">
        <v>14</v>
      </c>
      <c r="E21" s="9">
        <v>53</v>
      </c>
      <c r="F21" s="9">
        <v>45</v>
      </c>
    </row>
    <row r="22" spans="2:6" x14ac:dyDescent="0.3">
      <c r="B22" s="52">
        <v>45453.947368421039</v>
      </c>
      <c r="C22" s="9" t="s">
        <v>11</v>
      </c>
      <c r="D22" s="9" t="s">
        <v>15</v>
      </c>
      <c r="E22" s="9">
        <v>398</v>
      </c>
      <c r="F22" s="9">
        <v>33</v>
      </c>
    </row>
    <row r="23" spans="2:6" x14ac:dyDescent="0.3">
      <c r="B23" s="52">
        <v>45463.473684210519</v>
      </c>
      <c r="C23" s="9" t="s">
        <v>17</v>
      </c>
      <c r="D23" s="9" t="s">
        <v>14</v>
      </c>
      <c r="E23" s="9">
        <v>347</v>
      </c>
      <c r="F23" s="9">
        <v>35</v>
      </c>
    </row>
    <row r="24" spans="2:6" x14ac:dyDescent="0.3">
      <c r="B24" s="52">
        <v>45473</v>
      </c>
      <c r="C24" s="9" t="s">
        <v>13</v>
      </c>
      <c r="D24" s="9" t="s">
        <v>15</v>
      </c>
      <c r="E24" s="9">
        <v>319</v>
      </c>
      <c r="F24" s="9">
        <v>45</v>
      </c>
    </row>
  </sheetData>
  <mergeCells count="3">
    <mergeCell ref="B2:I2"/>
    <mergeCell ref="L4:V4"/>
    <mergeCell ref="L5:U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B6BC15-6E60-4D88-8DB6-A0102DB7A8C8}">
  <dimension ref="A1:N31"/>
  <sheetViews>
    <sheetView workbookViewId="0">
      <selection activeCell="B7" sqref="B7:F23"/>
    </sheetView>
  </sheetViews>
  <sheetFormatPr defaultRowHeight="14.4" x14ac:dyDescent="0.3"/>
  <cols>
    <col min="2" max="2" width="18.109375" bestFit="1" customWidth="1"/>
  </cols>
  <sheetData>
    <row r="1" spans="1:14" x14ac:dyDescent="0.3">
      <c r="A1" t="s">
        <v>24</v>
      </c>
      <c r="B1" s="24" t="s">
        <v>23</v>
      </c>
      <c r="C1" s="24"/>
      <c r="D1" s="24"/>
      <c r="E1" s="24"/>
      <c r="F1" s="24"/>
      <c r="G1" s="24"/>
      <c r="H1" s="24"/>
      <c r="I1" s="24"/>
      <c r="J1" s="24"/>
    </row>
    <row r="3" spans="1:14" ht="15" x14ac:dyDescent="0.3">
      <c r="B3" s="26" t="s">
        <v>25</v>
      </c>
      <c r="C3" s="26"/>
      <c r="D3" s="26"/>
      <c r="E3" s="26"/>
      <c r="F3" s="26"/>
      <c r="G3" s="26"/>
      <c r="H3" s="26"/>
      <c r="I3" s="26"/>
      <c r="J3" s="26"/>
      <c r="K3" s="26"/>
      <c r="L3" s="26"/>
      <c r="M3" s="26"/>
      <c r="N3" s="26"/>
    </row>
    <row r="4" spans="1:14" ht="15" x14ac:dyDescent="0.3">
      <c r="B4" s="26" t="s">
        <v>26</v>
      </c>
      <c r="C4" s="26"/>
      <c r="D4" s="26"/>
      <c r="E4" s="26"/>
      <c r="F4" s="26"/>
      <c r="G4" s="26"/>
      <c r="H4" s="26"/>
      <c r="I4" s="26"/>
      <c r="J4" s="26"/>
      <c r="K4" s="26"/>
      <c r="L4" s="26"/>
      <c r="M4" s="26"/>
      <c r="N4" s="26"/>
    </row>
    <row r="5" spans="1:14" ht="15" x14ac:dyDescent="0.3">
      <c r="B5" s="26" t="s">
        <v>27</v>
      </c>
      <c r="C5" s="26"/>
      <c r="D5" s="26"/>
      <c r="E5" s="26"/>
      <c r="F5" s="26"/>
      <c r="G5" s="26"/>
      <c r="H5" s="26"/>
      <c r="I5" s="26"/>
      <c r="J5" s="26"/>
      <c r="K5" s="26"/>
      <c r="L5" s="26"/>
      <c r="M5" s="26"/>
      <c r="N5" s="26"/>
    </row>
    <row r="7" spans="1:14" x14ac:dyDescent="0.3">
      <c r="A7" t="s">
        <v>2</v>
      </c>
      <c r="B7" s="12" t="s">
        <v>6</v>
      </c>
      <c r="C7" s="12" t="s">
        <v>7</v>
      </c>
      <c r="D7" s="12" t="s">
        <v>8</v>
      </c>
      <c r="E7" s="12" t="s">
        <v>9</v>
      </c>
      <c r="F7" s="12" t="s">
        <v>10</v>
      </c>
    </row>
    <row r="8" spans="1:14" x14ac:dyDescent="0.3">
      <c r="B8" s="13">
        <v>45292</v>
      </c>
      <c r="C8" s="2" t="s">
        <v>11</v>
      </c>
      <c r="D8" s="2" t="s">
        <v>12</v>
      </c>
      <c r="E8" s="2">
        <v>456</v>
      </c>
      <c r="F8" s="2">
        <v>93</v>
      </c>
    </row>
    <row r="9" spans="1:14" x14ac:dyDescent="0.3">
      <c r="B9" s="13">
        <v>45301.526315789473</v>
      </c>
      <c r="C9" s="2" t="s">
        <v>13</v>
      </c>
      <c r="D9" s="2" t="s">
        <v>14</v>
      </c>
      <c r="E9" s="2">
        <v>348</v>
      </c>
      <c r="F9" s="2">
        <v>56</v>
      </c>
    </row>
    <row r="10" spans="1:14" x14ac:dyDescent="0.3">
      <c r="B10" s="13">
        <v>45311.052631578947</v>
      </c>
      <c r="C10" s="2" t="s">
        <v>13</v>
      </c>
      <c r="D10" s="2" t="s">
        <v>12</v>
      </c>
      <c r="E10" s="2">
        <v>247</v>
      </c>
      <c r="F10" s="2">
        <v>76</v>
      </c>
    </row>
    <row r="11" spans="1:14" x14ac:dyDescent="0.3">
      <c r="B11" s="13">
        <v>45320.578947368413</v>
      </c>
      <c r="C11" s="2" t="s">
        <v>11</v>
      </c>
      <c r="D11" s="2" t="s">
        <v>15</v>
      </c>
      <c r="E11" s="2">
        <v>230</v>
      </c>
      <c r="F11" s="2">
        <v>37</v>
      </c>
    </row>
    <row r="12" spans="1:14" x14ac:dyDescent="0.3">
      <c r="B12" s="13">
        <v>45330.105263157893</v>
      </c>
      <c r="C12" s="2" t="s">
        <v>11</v>
      </c>
      <c r="D12" s="2" t="s">
        <v>12</v>
      </c>
      <c r="E12" s="2">
        <v>281</v>
      </c>
      <c r="F12" s="2">
        <v>50</v>
      </c>
    </row>
    <row r="13" spans="1:14" x14ac:dyDescent="0.3">
      <c r="B13" s="13">
        <v>45339.631578947359</v>
      </c>
      <c r="C13" s="2" t="s">
        <v>11</v>
      </c>
      <c r="D13" s="2" t="s">
        <v>14</v>
      </c>
      <c r="E13" s="2">
        <v>334</v>
      </c>
      <c r="F13" s="2">
        <v>52</v>
      </c>
    </row>
    <row r="14" spans="1:14" x14ac:dyDescent="0.3">
      <c r="B14" s="13">
        <v>45349.15789473684</v>
      </c>
      <c r="C14" s="2" t="s">
        <v>13</v>
      </c>
      <c r="D14" s="2" t="s">
        <v>15</v>
      </c>
      <c r="E14" s="2">
        <v>417</v>
      </c>
      <c r="F14" s="2">
        <v>29</v>
      </c>
    </row>
    <row r="15" spans="1:14" x14ac:dyDescent="0.3">
      <c r="B15" s="13">
        <v>45358.684210526313</v>
      </c>
      <c r="C15" s="2" t="s">
        <v>11</v>
      </c>
      <c r="D15" s="2" t="s">
        <v>15</v>
      </c>
      <c r="E15" s="2">
        <v>441</v>
      </c>
      <c r="F15" s="2">
        <v>44</v>
      </c>
    </row>
    <row r="16" spans="1:14" x14ac:dyDescent="0.3">
      <c r="B16" s="13">
        <v>45368.210526315786</v>
      </c>
      <c r="C16" s="2" t="s">
        <v>13</v>
      </c>
      <c r="D16" s="2" t="s">
        <v>12</v>
      </c>
      <c r="E16" s="2">
        <v>76</v>
      </c>
      <c r="F16" s="2">
        <v>63</v>
      </c>
    </row>
    <row r="17" spans="2:6" x14ac:dyDescent="0.3">
      <c r="B17" s="13">
        <v>45377.736842105252</v>
      </c>
      <c r="C17" s="2" t="s">
        <v>11</v>
      </c>
      <c r="D17" s="2" t="s">
        <v>14</v>
      </c>
      <c r="E17" s="2">
        <v>441</v>
      </c>
      <c r="F17" s="2">
        <v>79</v>
      </c>
    </row>
    <row r="18" spans="2:6" x14ac:dyDescent="0.3">
      <c r="B18" s="13">
        <v>45387.263157894733</v>
      </c>
      <c r="C18" s="2" t="s">
        <v>13</v>
      </c>
      <c r="D18" s="2" t="s">
        <v>12</v>
      </c>
      <c r="E18" s="2">
        <v>205</v>
      </c>
      <c r="F18" s="2">
        <v>23</v>
      </c>
    </row>
    <row r="19" spans="2:6" x14ac:dyDescent="0.3">
      <c r="B19" s="13">
        <v>45396.789473684199</v>
      </c>
      <c r="C19" s="2" t="s">
        <v>11</v>
      </c>
      <c r="D19" s="2" t="s">
        <v>14</v>
      </c>
      <c r="E19" s="2">
        <v>483</v>
      </c>
      <c r="F19" s="2">
        <v>97</v>
      </c>
    </row>
    <row r="20" spans="2:6" x14ac:dyDescent="0.3">
      <c r="B20" s="13">
        <v>45406.31578947368</v>
      </c>
      <c r="C20" s="2" t="s">
        <v>16</v>
      </c>
      <c r="D20" s="2" t="s">
        <v>12</v>
      </c>
      <c r="E20" s="2">
        <v>467</v>
      </c>
      <c r="F20" s="2">
        <v>97</v>
      </c>
    </row>
    <row r="21" spans="2:6" x14ac:dyDescent="0.3">
      <c r="B21" s="13">
        <v>45415.842105263153</v>
      </c>
      <c r="C21" s="2" t="s">
        <v>11</v>
      </c>
      <c r="D21" s="2" t="s">
        <v>12</v>
      </c>
      <c r="E21" s="2">
        <v>380</v>
      </c>
      <c r="F21" s="2">
        <v>92</v>
      </c>
    </row>
    <row r="22" spans="2:6" x14ac:dyDescent="0.3">
      <c r="B22" s="13">
        <v>45425.368421052633</v>
      </c>
      <c r="C22" s="2" t="s">
        <v>13</v>
      </c>
      <c r="D22" s="2" t="s">
        <v>14</v>
      </c>
      <c r="E22" s="2">
        <v>497</v>
      </c>
      <c r="F22" s="2">
        <v>71</v>
      </c>
    </row>
    <row r="23" spans="2:6" x14ac:dyDescent="0.3">
      <c r="B23" s="13">
        <v>45434.894736842092</v>
      </c>
      <c r="C23" s="2" t="s">
        <v>13</v>
      </c>
      <c r="D23" s="2" t="s">
        <v>12</v>
      </c>
      <c r="E23" s="2">
        <v>409</v>
      </c>
      <c r="F23" s="2">
        <v>81</v>
      </c>
    </row>
    <row r="24" spans="2:6" x14ac:dyDescent="0.3">
      <c r="B24" s="13">
        <v>45444.421052631573</v>
      </c>
      <c r="C24" s="2" t="s">
        <v>11</v>
      </c>
      <c r="D24" s="2" t="s">
        <v>14</v>
      </c>
      <c r="E24" s="2">
        <v>53</v>
      </c>
      <c r="F24" s="2">
        <v>45</v>
      </c>
    </row>
    <row r="25" spans="2:6" x14ac:dyDescent="0.3">
      <c r="B25" s="13">
        <v>45453.947368421039</v>
      </c>
      <c r="C25" s="2" t="s">
        <v>11</v>
      </c>
      <c r="D25" s="2" t="s">
        <v>15</v>
      </c>
      <c r="E25" s="2">
        <v>398</v>
      </c>
      <c r="F25" s="2">
        <v>33</v>
      </c>
    </row>
    <row r="26" spans="2:6" x14ac:dyDescent="0.3">
      <c r="B26" s="13">
        <v>45463.473684210519</v>
      </c>
      <c r="C26" s="2" t="s">
        <v>17</v>
      </c>
      <c r="D26" s="2" t="s">
        <v>14</v>
      </c>
      <c r="E26" s="2">
        <v>347</v>
      </c>
      <c r="F26" s="2">
        <v>35</v>
      </c>
    </row>
    <row r="27" spans="2:6" x14ac:dyDescent="0.3">
      <c r="B27" s="13">
        <v>45473</v>
      </c>
      <c r="C27" s="2" t="s">
        <v>13</v>
      </c>
      <c r="D27" s="2" t="s">
        <v>15</v>
      </c>
      <c r="E27" s="2">
        <v>319</v>
      </c>
      <c r="F27" s="2">
        <v>45</v>
      </c>
    </row>
    <row r="29" spans="2:6" ht="30" customHeight="1" x14ac:dyDescent="0.3"/>
    <row r="30" spans="2:6" ht="30" customHeight="1" x14ac:dyDescent="0.3"/>
    <row r="31" spans="2:6" ht="26.4" customHeight="1" x14ac:dyDescent="0.3"/>
  </sheetData>
  <mergeCells count="4">
    <mergeCell ref="B1:J1"/>
    <mergeCell ref="B3:N3"/>
    <mergeCell ref="B4:N4"/>
    <mergeCell ref="B5:N5"/>
  </mergeCells>
  <conditionalFormatting sqref="E8:E27">
    <cfRule type="cellIs" dxfId="0" priority="1" operator="greaterThan">
      <formula>400</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8C3EC-F5D0-460D-A1B0-65D09AFFCCD6}">
  <dimension ref="A2:L28"/>
  <sheetViews>
    <sheetView topLeftCell="A6" workbookViewId="0">
      <selection activeCell="O12" sqref="O12"/>
    </sheetView>
  </sheetViews>
  <sheetFormatPr defaultRowHeight="14.4" x14ac:dyDescent="0.3"/>
  <cols>
    <col min="2" max="2" width="18.109375" bestFit="1" customWidth="1"/>
    <col min="8" max="8" width="18.109375" bestFit="1" customWidth="1"/>
  </cols>
  <sheetData>
    <row r="2" spans="1:12" x14ac:dyDescent="0.3">
      <c r="A2" t="s">
        <v>28</v>
      </c>
      <c r="B2" s="24" t="s">
        <v>29</v>
      </c>
      <c r="C2" s="24"/>
      <c r="D2" s="24"/>
      <c r="E2" s="24"/>
      <c r="F2" s="24"/>
      <c r="G2" s="24"/>
      <c r="H2" s="24"/>
      <c r="I2" s="24"/>
      <c r="J2" s="24"/>
      <c r="K2" s="24"/>
      <c r="L2" s="24"/>
    </row>
    <row r="4" spans="1:12" ht="29.4" customHeight="1" x14ac:dyDescent="0.3">
      <c r="A4" t="s">
        <v>2</v>
      </c>
      <c r="B4" s="31" t="s">
        <v>30</v>
      </c>
      <c r="C4" s="32"/>
      <c r="D4" s="32"/>
      <c r="E4" s="32"/>
      <c r="F4" s="32"/>
      <c r="G4" s="32"/>
      <c r="H4" s="32"/>
      <c r="I4" s="32"/>
      <c r="J4" s="32"/>
      <c r="K4" s="32"/>
      <c r="L4" s="33"/>
    </row>
    <row r="5" spans="1:12" ht="58.2" customHeight="1" x14ac:dyDescent="0.3">
      <c r="B5" s="27" t="s">
        <v>32</v>
      </c>
      <c r="C5" s="27"/>
      <c r="D5" s="27"/>
      <c r="E5" s="27"/>
      <c r="F5" s="27"/>
      <c r="G5" s="27"/>
      <c r="H5" s="27"/>
      <c r="I5" s="27"/>
      <c r="J5" s="27"/>
      <c r="K5" s="27"/>
      <c r="L5" s="27"/>
    </row>
    <row r="6" spans="1:12" ht="52.8" customHeight="1" x14ac:dyDescent="0.3">
      <c r="B6" s="28" t="s">
        <v>34</v>
      </c>
      <c r="C6" s="29"/>
      <c r="D6" s="29"/>
      <c r="E6" s="29"/>
      <c r="F6" s="29"/>
      <c r="G6" s="29"/>
      <c r="H6" s="29"/>
      <c r="I6" s="29"/>
      <c r="J6" s="29"/>
      <c r="K6" s="29"/>
      <c r="L6" s="29"/>
    </row>
    <row r="7" spans="1:12" ht="27" customHeight="1" x14ac:dyDescent="0.3">
      <c r="B7" s="30" t="s">
        <v>31</v>
      </c>
      <c r="C7" s="30"/>
      <c r="D7" s="30"/>
      <c r="E7" s="30"/>
      <c r="F7" s="30"/>
      <c r="H7" s="30" t="s">
        <v>33</v>
      </c>
      <c r="I7" s="30"/>
      <c r="J7" s="30"/>
      <c r="K7" s="30"/>
      <c r="L7" s="30"/>
    </row>
    <row r="8" spans="1:12" x14ac:dyDescent="0.3">
      <c r="B8" s="7" t="s">
        <v>6</v>
      </c>
      <c r="C8" s="7" t="s">
        <v>7</v>
      </c>
      <c r="D8" s="7" t="s">
        <v>8</v>
      </c>
      <c r="E8" s="7" t="s">
        <v>9</v>
      </c>
      <c r="F8" s="7" t="s">
        <v>10</v>
      </c>
      <c r="H8" s="7" t="s">
        <v>6</v>
      </c>
      <c r="I8" s="7" t="s">
        <v>7</v>
      </c>
      <c r="J8" s="7" t="s">
        <v>8</v>
      </c>
      <c r="K8" s="7" t="s">
        <v>9</v>
      </c>
      <c r="L8" s="7" t="s">
        <v>10</v>
      </c>
    </row>
    <row r="9" spans="1:12" x14ac:dyDescent="0.3">
      <c r="B9" s="8">
        <v>45320.578947368413</v>
      </c>
      <c r="C9" s="9" t="s">
        <v>11</v>
      </c>
      <c r="D9" s="9" t="s">
        <v>15</v>
      </c>
      <c r="E9" s="9">
        <v>230</v>
      </c>
      <c r="F9" s="9">
        <v>37</v>
      </c>
      <c r="H9" s="8">
        <v>45292</v>
      </c>
      <c r="I9" s="9" t="s">
        <v>11</v>
      </c>
      <c r="J9" s="9" t="s">
        <v>12</v>
      </c>
      <c r="K9" s="9">
        <v>456</v>
      </c>
      <c r="L9" s="9">
        <v>93</v>
      </c>
    </row>
    <row r="10" spans="1:12" x14ac:dyDescent="0.3">
      <c r="B10" s="8">
        <v>45349.15789473684</v>
      </c>
      <c r="C10" s="9" t="s">
        <v>13</v>
      </c>
      <c r="D10" s="9" t="s">
        <v>15</v>
      </c>
      <c r="E10" s="9">
        <v>417</v>
      </c>
      <c r="F10" s="9">
        <v>29</v>
      </c>
      <c r="H10" s="8">
        <v>45301.526315789473</v>
      </c>
      <c r="I10" s="9" t="s">
        <v>13</v>
      </c>
      <c r="J10" s="9" t="s">
        <v>14</v>
      </c>
      <c r="K10" s="9">
        <v>348</v>
      </c>
      <c r="L10" s="9">
        <v>56</v>
      </c>
    </row>
    <row r="11" spans="1:12" x14ac:dyDescent="0.3">
      <c r="B11" s="8">
        <v>45358.684210526313</v>
      </c>
      <c r="C11" s="9" t="s">
        <v>11</v>
      </c>
      <c r="D11" s="9" t="s">
        <v>15</v>
      </c>
      <c r="E11" s="9">
        <v>441</v>
      </c>
      <c r="F11" s="9">
        <v>44</v>
      </c>
      <c r="H11" s="8">
        <v>45311.052631578947</v>
      </c>
      <c r="I11" s="9" t="s">
        <v>13</v>
      </c>
      <c r="J11" s="9" t="s">
        <v>12</v>
      </c>
      <c r="K11" s="9">
        <v>247</v>
      </c>
      <c r="L11" s="9">
        <v>76</v>
      </c>
    </row>
    <row r="12" spans="1:12" x14ac:dyDescent="0.3">
      <c r="B12" s="8">
        <v>45453.947368421039</v>
      </c>
      <c r="C12" s="9" t="s">
        <v>11</v>
      </c>
      <c r="D12" s="9" t="s">
        <v>15</v>
      </c>
      <c r="E12" s="9">
        <v>398</v>
      </c>
      <c r="F12" s="9">
        <v>33</v>
      </c>
      <c r="H12" s="8">
        <v>45320.578947368413</v>
      </c>
      <c r="I12" s="9" t="s">
        <v>11</v>
      </c>
      <c r="J12" s="9" t="s">
        <v>15</v>
      </c>
      <c r="K12" s="9">
        <v>230</v>
      </c>
      <c r="L12" s="9">
        <v>37</v>
      </c>
    </row>
    <row r="13" spans="1:12" x14ac:dyDescent="0.3">
      <c r="B13" s="8">
        <v>45473</v>
      </c>
      <c r="C13" s="9" t="s">
        <v>13</v>
      </c>
      <c r="D13" s="9" t="s">
        <v>15</v>
      </c>
      <c r="E13" s="9">
        <v>319</v>
      </c>
      <c r="F13" s="9">
        <v>45</v>
      </c>
      <c r="H13" s="8">
        <v>45330.105263157893</v>
      </c>
      <c r="I13" s="9" t="s">
        <v>11</v>
      </c>
      <c r="J13" s="9" t="s">
        <v>12</v>
      </c>
      <c r="K13" s="9">
        <v>281</v>
      </c>
      <c r="L13" s="9">
        <v>50</v>
      </c>
    </row>
    <row r="14" spans="1:12" x14ac:dyDescent="0.3">
      <c r="B14" s="8">
        <v>45292</v>
      </c>
      <c r="C14" s="9" t="s">
        <v>11</v>
      </c>
      <c r="D14" s="9" t="s">
        <v>12</v>
      </c>
      <c r="E14" s="9">
        <v>456</v>
      </c>
      <c r="F14" s="9">
        <v>93</v>
      </c>
      <c r="H14" s="8">
        <v>45339.631578947359</v>
      </c>
      <c r="I14" s="9" t="s">
        <v>11</v>
      </c>
      <c r="J14" s="9" t="s">
        <v>14</v>
      </c>
      <c r="K14" s="9">
        <v>334</v>
      </c>
      <c r="L14" s="9">
        <v>52</v>
      </c>
    </row>
    <row r="15" spans="1:12" x14ac:dyDescent="0.3">
      <c r="B15" s="8">
        <v>45311.052631578947</v>
      </c>
      <c r="C15" s="9" t="s">
        <v>13</v>
      </c>
      <c r="D15" s="9" t="s">
        <v>12</v>
      </c>
      <c r="E15" s="9">
        <v>247</v>
      </c>
      <c r="F15" s="9">
        <v>76</v>
      </c>
      <c r="H15" s="8">
        <v>45349.15789473684</v>
      </c>
      <c r="I15" s="9" t="s">
        <v>13</v>
      </c>
      <c r="J15" s="9" t="s">
        <v>15</v>
      </c>
      <c r="K15" s="9">
        <v>417</v>
      </c>
      <c r="L15" s="9">
        <v>29</v>
      </c>
    </row>
    <row r="16" spans="1:12" x14ac:dyDescent="0.3">
      <c r="B16" s="8">
        <v>45330.105263157893</v>
      </c>
      <c r="C16" s="9" t="s">
        <v>11</v>
      </c>
      <c r="D16" s="9" t="s">
        <v>12</v>
      </c>
      <c r="E16" s="9">
        <v>281</v>
      </c>
      <c r="F16" s="9">
        <v>50</v>
      </c>
      <c r="H16" s="8">
        <v>45358.684210526313</v>
      </c>
      <c r="I16" s="9" t="s">
        <v>11</v>
      </c>
      <c r="J16" s="9" t="s">
        <v>15</v>
      </c>
      <c r="K16" s="9">
        <v>441</v>
      </c>
      <c r="L16" s="9">
        <v>44</v>
      </c>
    </row>
    <row r="17" spans="2:12" x14ac:dyDescent="0.3">
      <c r="B17" s="8">
        <v>45368.210526315786</v>
      </c>
      <c r="C17" s="9" t="s">
        <v>13</v>
      </c>
      <c r="D17" s="9" t="s">
        <v>12</v>
      </c>
      <c r="E17" s="9">
        <v>76</v>
      </c>
      <c r="F17" s="9">
        <v>63</v>
      </c>
      <c r="H17" s="8">
        <v>45368.210526315786</v>
      </c>
      <c r="I17" s="9" t="s">
        <v>13</v>
      </c>
      <c r="J17" s="9" t="s">
        <v>12</v>
      </c>
      <c r="K17" s="9">
        <v>76</v>
      </c>
      <c r="L17" s="9">
        <v>63</v>
      </c>
    </row>
    <row r="18" spans="2:12" x14ac:dyDescent="0.3">
      <c r="B18" s="8">
        <v>45387.263157894733</v>
      </c>
      <c r="C18" s="9" t="s">
        <v>13</v>
      </c>
      <c r="D18" s="9" t="s">
        <v>12</v>
      </c>
      <c r="E18" s="9">
        <v>205</v>
      </c>
      <c r="F18" s="9">
        <v>23</v>
      </c>
      <c r="H18" s="8">
        <v>45377.736842105252</v>
      </c>
      <c r="I18" s="9" t="s">
        <v>11</v>
      </c>
      <c r="J18" s="9" t="s">
        <v>14</v>
      </c>
      <c r="K18" s="9">
        <v>441</v>
      </c>
      <c r="L18" s="9">
        <v>79</v>
      </c>
    </row>
    <row r="19" spans="2:12" x14ac:dyDescent="0.3">
      <c r="B19" s="8">
        <v>45406.31578947368</v>
      </c>
      <c r="C19" s="9" t="s">
        <v>16</v>
      </c>
      <c r="D19" s="9" t="s">
        <v>12</v>
      </c>
      <c r="E19" s="9">
        <v>467</v>
      </c>
      <c r="F19" s="9">
        <v>97</v>
      </c>
      <c r="H19" s="8">
        <v>45387.263157894733</v>
      </c>
      <c r="I19" s="9" t="s">
        <v>13</v>
      </c>
      <c r="J19" s="9" t="s">
        <v>12</v>
      </c>
      <c r="K19" s="9">
        <v>205</v>
      </c>
      <c r="L19" s="9">
        <v>23</v>
      </c>
    </row>
    <row r="20" spans="2:12" x14ac:dyDescent="0.3">
      <c r="B20" s="8">
        <v>45415.842105263153</v>
      </c>
      <c r="C20" s="9" t="s">
        <v>11</v>
      </c>
      <c r="D20" s="9" t="s">
        <v>12</v>
      </c>
      <c r="E20" s="9">
        <v>380</v>
      </c>
      <c r="F20" s="9">
        <v>92</v>
      </c>
      <c r="H20" s="8">
        <v>45396.789473684199</v>
      </c>
      <c r="I20" s="9" t="s">
        <v>11</v>
      </c>
      <c r="J20" s="9" t="s">
        <v>14</v>
      </c>
      <c r="K20" s="9">
        <v>483</v>
      </c>
      <c r="L20" s="9">
        <v>97</v>
      </c>
    </row>
    <row r="21" spans="2:12" x14ac:dyDescent="0.3">
      <c r="B21" s="8">
        <v>45434.894736842092</v>
      </c>
      <c r="C21" s="9" t="s">
        <v>13</v>
      </c>
      <c r="D21" s="9" t="s">
        <v>12</v>
      </c>
      <c r="E21" s="9">
        <v>409</v>
      </c>
      <c r="F21" s="9">
        <v>81</v>
      </c>
      <c r="H21" s="8">
        <v>45406.31578947368</v>
      </c>
      <c r="I21" s="9" t="s">
        <v>16</v>
      </c>
      <c r="J21" s="9" t="s">
        <v>12</v>
      </c>
      <c r="K21" s="9">
        <v>467</v>
      </c>
      <c r="L21" s="9">
        <v>97</v>
      </c>
    </row>
    <row r="22" spans="2:12" x14ac:dyDescent="0.3">
      <c r="B22" s="8">
        <v>45301.526315789473</v>
      </c>
      <c r="C22" s="9" t="s">
        <v>13</v>
      </c>
      <c r="D22" s="9" t="s">
        <v>14</v>
      </c>
      <c r="E22" s="9">
        <v>348</v>
      </c>
      <c r="F22" s="9">
        <v>56</v>
      </c>
      <c r="H22" s="8">
        <v>45415.842105263153</v>
      </c>
      <c r="I22" s="9" t="s">
        <v>11</v>
      </c>
      <c r="J22" s="9" t="s">
        <v>12</v>
      </c>
      <c r="K22" s="9">
        <v>380</v>
      </c>
      <c r="L22" s="9">
        <v>92</v>
      </c>
    </row>
    <row r="23" spans="2:12" x14ac:dyDescent="0.3">
      <c r="B23" s="8">
        <v>45339.631578947359</v>
      </c>
      <c r="C23" s="9" t="s">
        <v>11</v>
      </c>
      <c r="D23" s="9" t="s">
        <v>14</v>
      </c>
      <c r="E23" s="9">
        <v>334</v>
      </c>
      <c r="F23" s="9">
        <v>52</v>
      </c>
      <c r="H23" s="8">
        <v>45425.368421052633</v>
      </c>
      <c r="I23" s="9" t="s">
        <v>13</v>
      </c>
      <c r="J23" s="9" t="s">
        <v>14</v>
      </c>
      <c r="K23" s="9">
        <v>497</v>
      </c>
      <c r="L23" s="9">
        <v>71</v>
      </c>
    </row>
    <row r="24" spans="2:12" x14ac:dyDescent="0.3">
      <c r="B24" s="8">
        <v>45377.736842105252</v>
      </c>
      <c r="C24" s="9" t="s">
        <v>11</v>
      </c>
      <c r="D24" s="9" t="s">
        <v>14</v>
      </c>
      <c r="E24" s="9">
        <v>441</v>
      </c>
      <c r="F24" s="9">
        <v>79</v>
      </c>
      <c r="H24" s="8">
        <v>45434.894736842092</v>
      </c>
      <c r="I24" s="9" t="s">
        <v>13</v>
      </c>
      <c r="J24" s="9" t="s">
        <v>12</v>
      </c>
      <c r="K24" s="9">
        <v>409</v>
      </c>
      <c r="L24" s="9">
        <v>81</v>
      </c>
    </row>
    <row r="25" spans="2:12" x14ac:dyDescent="0.3">
      <c r="B25" s="8">
        <v>45396.789473684199</v>
      </c>
      <c r="C25" s="9" t="s">
        <v>11</v>
      </c>
      <c r="D25" s="9" t="s">
        <v>14</v>
      </c>
      <c r="E25" s="9">
        <v>483</v>
      </c>
      <c r="F25" s="9">
        <v>97</v>
      </c>
      <c r="H25" s="8">
        <v>45444.421052631573</v>
      </c>
      <c r="I25" s="9" t="s">
        <v>11</v>
      </c>
      <c r="J25" s="9" t="s">
        <v>14</v>
      </c>
      <c r="K25" s="9">
        <v>53</v>
      </c>
      <c r="L25" s="9">
        <v>45</v>
      </c>
    </row>
    <row r="26" spans="2:12" x14ac:dyDescent="0.3">
      <c r="B26" s="8">
        <v>45425.368421052633</v>
      </c>
      <c r="C26" s="9" t="s">
        <v>13</v>
      </c>
      <c r="D26" s="9" t="s">
        <v>14</v>
      </c>
      <c r="E26" s="9">
        <v>497</v>
      </c>
      <c r="F26" s="9">
        <v>71</v>
      </c>
      <c r="H26" s="8">
        <v>45453.947368421039</v>
      </c>
      <c r="I26" s="9" t="s">
        <v>11</v>
      </c>
      <c r="J26" s="9" t="s">
        <v>15</v>
      </c>
      <c r="K26" s="9">
        <v>398</v>
      </c>
      <c r="L26" s="9">
        <v>33</v>
      </c>
    </row>
    <row r="27" spans="2:12" x14ac:dyDescent="0.3">
      <c r="B27" s="8">
        <v>45444.421052631573</v>
      </c>
      <c r="C27" s="9" t="s">
        <v>11</v>
      </c>
      <c r="D27" s="9" t="s">
        <v>14</v>
      </c>
      <c r="E27" s="9">
        <v>53</v>
      </c>
      <c r="F27" s="9">
        <v>45</v>
      </c>
      <c r="H27" s="8">
        <v>45463.473684210519</v>
      </c>
      <c r="I27" s="9" t="s">
        <v>17</v>
      </c>
      <c r="J27" s="9" t="s">
        <v>14</v>
      </c>
      <c r="K27" s="9">
        <v>347</v>
      </c>
      <c r="L27" s="9">
        <v>35</v>
      </c>
    </row>
    <row r="28" spans="2:12" x14ac:dyDescent="0.3">
      <c r="B28" s="8">
        <v>45463.473684210519</v>
      </c>
      <c r="C28" s="9" t="s">
        <v>17</v>
      </c>
      <c r="D28" s="9" t="s">
        <v>14</v>
      </c>
      <c r="E28" s="9">
        <v>347</v>
      </c>
      <c r="F28" s="9">
        <v>35</v>
      </c>
      <c r="H28" s="8">
        <v>45473</v>
      </c>
      <c r="I28" s="9" t="s">
        <v>13</v>
      </c>
      <c r="J28" s="9" t="s">
        <v>15</v>
      </c>
      <c r="K28" s="9">
        <v>319</v>
      </c>
      <c r="L28" s="9">
        <v>45</v>
      </c>
    </row>
  </sheetData>
  <autoFilter ref="H8:L28" xr:uid="{22A8C3EC-F5D0-460D-A1B0-65D09AFFCCD6}"/>
  <sortState xmlns:xlrd2="http://schemas.microsoft.com/office/spreadsheetml/2017/richdata2" ref="B9:F28">
    <sortCondition ref="B9:B28"/>
  </sortState>
  <mergeCells count="6">
    <mergeCell ref="B2:L2"/>
    <mergeCell ref="B5:L5"/>
    <mergeCell ref="B6:L6"/>
    <mergeCell ref="B7:F7"/>
    <mergeCell ref="B4:L4"/>
    <mergeCell ref="H7:L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6D6EEA-04A5-4423-97FE-FE29ECA1E62A}">
  <dimension ref="A2:I25"/>
  <sheetViews>
    <sheetView topLeftCell="B1" workbookViewId="0">
      <selection activeCell="M19" sqref="M19"/>
    </sheetView>
  </sheetViews>
  <sheetFormatPr defaultRowHeight="14.4" x14ac:dyDescent="0.3"/>
  <cols>
    <col min="2" max="2" width="18.109375" bestFit="1" customWidth="1"/>
    <col min="8" max="8" width="12.5546875" bestFit="1" customWidth="1"/>
    <col min="9" max="9" width="11.6640625" bestFit="1" customWidth="1"/>
  </cols>
  <sheetData>
    <row r="2" spans="1:9" x14ac:dyDescent="0.3">
      <c r="A2" s="6" t="s">
        <v>35</v>
      </c>
      <c r="B2" s="24" t="s">
        <v>36</v>
      </c>
      <c r="C2" s="24"/>
      <c r="D2" s="24"/>
      <c r="E2" s="24"/>
      <c r="F2" s="24"/>
      <c r="G2" s="24"/>
      <c r="H2" s="24"/>
      <c r="I2" s="24"/>
    </row>
    <row r="5" spans="1:9" x14ac:dyDescent="0.3">
      <c r="B5" s="7" t="s">
        <v>6</v>
      </c>
      <c r="C5" s="7" t="s">
        <v>7</v>
      </c>
      <c r="D5" s="7" t="s">
        <v>8</v>
      </c>
      <c r="E5" s="7" t="s">
        <v>9</v>
      </c>
      <c r="F5" s="7" t="s">
        <v>10</v>
      </c>
      <c r="H5" s="3" t="s">
        <v>18</v>
      </c>
      <c r="I5" t="s">
        <v>20</v>
      </c>
    </row>
    <row r="6" spans="1:9" x14ac:dyDescent="0.3">
      <c r="B6" s="8">
        <v>45292</v>
      </c>
      <c r="C6" s="9" t="s">
        <v>11</v>
      </c>
      <c r="D6" s="9" t="s">
        <v>12</v>
      </c>
      <c r="E6" s="9">
        <v>456</v>
      </c>
      <c r="F6" s="9">
        <v>93</v>
      </c>
      <c r="H6" s="4" t="s">
        <v>37</v>
      </c>
      <c r="I6">
        <v>1281</v>
      </c>
    </row>
    <row r="7" spans="1:9" x14ac:dyDescent="0.3">
      <c r="B7" s="8">
        <v>45301.526315789473</v>
      </c>
      <c r="C7" s="9" t="s">
        <v>13</v>
      </c>
      <c r="D7" s="9" t="s">
        <v>14</v>
      </c>
      <c r="E7" s="9">
        <v>348</v>
      </c>
      <c r="F7" s="9">
        <v>56</v>
      </c>
      <c r="H7" s="4" t="s">
        <v>38</v>
      </c>
      <c r="I7">
        <v>1032</v>
      </c>
    </row>
    <row r="8" spans="1:9" x14ac:dyDescent="0.3">
      <c r="B8" s="8">
        <v>45311.052631578947</v>
      </c>
      <c r="C8" s="9" t="s">
        <v>13</v>
      </c>
      <c r="D8" s="9" t="s">
        <v>12</v>
      </c>
      <c r="E8" s="9">
        <v>247</v>
      </c>
      <c r="F8" s="9">
        <v>76</v>
      </c>
      <c r="H8" s="4" t="s">
        <v>39</v>
      </c>
      <c r="I8">
        <v>958</v>
      </c>
    </row>
    <row r="9" spans="1:9" x14ac:dyDescent="0.3">
      <c r="B9" s="8">
        <v>45320.578947368413</v>
      </c>
      <c r="C9" s="9" t="s">
        <v>11</v>
      </c>
      <c r="D9" s="9" t="s">
        <v>15</v>
      </c>
      <c r="E9" s="9">
        <v>230</v>
      </c>
      <c r="F9" s="9">
        <v>37</v>
      </c>
      <c r="H9" s="4" t="s">
        <v>40</v>
      </c>
      <c r="I9">
        <v>1155</v>
      </c>
    </row>
    <row r="10" spans="1:9" x14ac:dyDescent="0.3">
      <c r="B10" s="8">
        <v>45330.105263157893</v>
      </c>
      <c r="C10" s="9" t="s">
        <v>11</v>
      </c>
      <c r="D10" s="9" t="s">
        <v>12</v>
      </c>
      <c r="E10" s="9">
        <v>281</v>
      </c>
      <c r="F10" s="9">
        <v>50</v>
      </c>
      <c r="H10" s="4" t="s">
        <v>41</v>
      </c>
      <c r="I10">
        <v>1286</v>
      </c>
    </row>
    <row r="11" spans="1:9" x14ac:dyDescent="0.3">
      <c r="B11" s="8">
        <v>45339.631578947359</v>
      </c>
      <c r="C11" s="9" t="s">
        <v>11</v>
      </c>
      <c r="D11" s="9" t="s">
        <v>14</v>
      </c>
      <c r="E11" s="9">
        <v>334</v>
      </c>
      <c r="F11" s="9">
        <v>52</v>
      </c>
      <c r="H11" s="4" t="s">
        <v>42</v>
      </c>
      <c r="I11">
        <v>1117</v>
      </c>
    </row>
    <row r="12" spans="1:9" x14ac:dyDescent="0.3">
      <c r="B12" s="8">
        <v>45349.15789473684</v>
      </c>
      <c r="C12" s="9" t="s">
        <v>13</v>
      </c>
      <c r="D12" s="9" t="s">
        <v>15</v>
      </c>
      <c r="E12" s="9">
        <v>417</v>
      </c>
      <c r="F12" s="9">
        <v>29</v>
      </c>
      <c r="H12" s="4" t="s">
        <v>19</v>
      </c>
      <c r="I12">
        <v>6829</v>
      </c>
    </row>
    <row r="13" spans="1:9" x14ac:dyDescent="0.3">
      <c r="B13" s="8">
        <v>45358.684210526313</v>
      </c>
      <c r="C13" s="9" t="s">
        <v>11</v>
      </c>
      <c r="D13" s="9" t="s">
        <v>15</v>
      </c>
      <c r="E13" s="9">
        <v>441</v>
      </c>
      <c r="F13" s="9">
        <v>44</v>
      </c>
    </row>
    <row r="14" spans="1:9" x14ac:dyDescent="0.3">
      <c r="B14" s="8">
        <v>45368.210526315786</v>
      </c>
      <c r="C14" s="9" t="s">
        <v>13</v>
      </c>
      <c r="D14" s="9" t="s">
        <v>12</v>
      </c>
      <c r="E14" s="9">
        <v>76</v>
      </c>
      <c r="F14" s="9">
        <v>63</v>
      </c>
    </row>
    <row r="15" spans="1:9" x14ac:dyDescent="0.3">
      <c r="B15" s="8">
        <v>45377.736842105252</v>
      </c>
      <c r="C15" s="9" t="s">
        <v>11</v>
      </c>
      <c r="D15" s="9" t="s">
        <v>14</v>
      </c>
      <c r="E15" s="9">
        <v>441</v>
      </c>
      <c r="F15" s="9">
        <v>79</v>
      </c>
    </row>
    <row r="16" spans="1:9" x14ac:dyDescent="0.3">
      <c r="B16" s="8">
        <v>45387.263157894733</v>
      </c>
      <c r="C16" s="9" t="s">
        <v>13</v>
      </c>
      <c r="D16" s="9" t="s">
        <v>12</v>
      </c>
      <c r="E16" s="9">
        <v>205</v>
      </c>
      <c r="F16" s="9">
        <v>23</v>
      </c>
    </row>
    <row r="17" spans="2:6" x14ac:dyDescent="0.3">
      <c r="B17" s="8">
        <v>45396.789473684199</v>
      </c>
      <c r="C17" s="9" t="s">
        <v>11</v>
      </c>
      <c r="D17" s="9" t="s">
        <v>14</v>
      </c>
      <c r="E17" s="9">
        <v>483</v>
      </c>
      <c r="F17" s="9">
        <v>97</v>
      </c>
    </row>
    <row r="18" spans="2:6" x14ac:dyDescent="0.3">
      <c r="B18" s="8">
        <v>45406.31578947368</v>
      </c>
      <c r="C18" s="9" t="s">
        <v>16</v>
      </c>
      <c r="D18" s="9" t="s">
        <v>12</v>
      </c>
      <c r="E18" s="9">
        <v>467</v>
      </c>
      <c r="F18" s="9">
        <v>97</v>
      </c>
    </row>
    <row r="19" spans="2:6" x14ac:dyDescent="0.3">
      <c r="B19" s="8">
        <v>45415.842105263153</v>
      </c>
      <c r="C19" s="9" t="s">
        <v>11</v>
      </c>
      <c r="D19" s="9" t="s">
        <v>12</v>
      </c>
      <c r="E19" s="9">
        <v>380</v>
      </c>
      <c r="F19" s="9">
        <v>92</v>
      </c>
    </row>
    <row r="20" spans="2:6" x14ac:dyDescent="0.3">
      <c r="B20" s="8">
        <v>45425.368421052633</v>
      </c>
      <c r="C20" s="9" t="s">
        <v>13</v>
      </c>
      <c r="D20" s="9" t="s">
        <v>14</v>
      </c>
      <c r="E20" s="9">
        <v>497</v>
      </c>
      <c r="F20" s="9">
        <v>71</v>
      </c>
    </row>
    <row r="21" spans="2:6" x14ac:dyDescent="0.3">
      <c r="B21" s="8">
        <v>45434.894736842092</v>
      </c>
      <c r="C21" s="9" t="s">
        <v>13</v>
      </c>
      <c r="D21" s="9" t="s">
        <v>12</v>
      </c>
      <c r="E21" s="9">
        <v>409</v>
      </c>
      <c r="F21" s="9">
        <v>81</v>
      </c>
    </row>
    <row r="22" spans="2:6" x14ac:dyDescent="0.3">
      <c r="B22" s="8">
        <v>45444.421052631573</v>
      </c>
      <c r="C22" s="9" t="s">
        <v>11</v>
      </c>
      <c r="D22" s="9" t="s">
        <v>14</v>
      </c>
      <c r="E22" s="9">
        <v>53</v>
      </c>
      <c r="F22" s="9">
        <v>45</v>
      </c>
    </row>
    <row r="23" spans="2:6" x14ac:dyDescent="0.3">
      <c r="B23" s="8">
        <v>45453.947368421039</v>
      </c>
      <c r="C23" s="9" t="s">
        <v>11</v>
      </c>
      <c r="D23" s="9" t="s">
        <v>15</v>
      </c>
      <c r="E23" s="9">
        <v>398</v>
      </c>
      <c r="F23" s="9">
        <v>33</v>
      </c>
    </row>
    <row r="24" spans="2:6" x14ac:dyDescent="0.3">
      <c r="B24" s="8">
        <v>45463.473684210519</v>
      </c>
      <c r="C24" s="9" t="s">
        <v>17</v>
      </c>
      <c r="D24" s="9" t="s">
        <v>14</v>
      </c>
      <c r="E24" s="9">
        <v>347</v>
      </c>
      <c r="F24" s="9">
        <v>35</v>
      </c>
    </row>
    <row r="25" spans="2:6" x14ac:dyDescent="0.3">
      <c r="B25" s="8">
        <v>45473</v>
      </c>
      <c r="C25" s="9" t="s">
        <v>13</v>
      </c>
      <c r="D25" s="9" t="s">
        <v>15</v>
      </c>
      <c r="E25" s="9">
        <v>319</v>
      </c>
      <c r="F25" s="9">
        <v>45</v>
      </c>
    </row>
  </sheetData>
  <mergeCells count="1">
    <mergeCell ref="B2:I2"/>
  </mergeCell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5FE5F-5C42-473C-880B-A6799700F163}">
  <dimension ref="A2:J26"/>
  <sheetViews>
    <sheetView workbookViewId="0">
      <selection activeCell="O14" sqref="O14"/>
    </sheetView>
  </sheetViews>
  <sheetFormatPr defaultRowHeight="14.4" x14ac:dyDescent="0.3"/>
  <cols>
    <col min="2" max="2" width="18.109375" bestFit="1" customWidth="1"/>
    <col min="4" max="4" width="9.5546875" customWidth="1"/>
    <col min="6" max="6" width="10.21875" customWidth="1"/>
    <col min="8" max="8" width="12.5546875" bestFit="1" customWidth="1"/>
    <col min="9" max="9" width="11.6640625" bestFit="1" customWidth="1"/>
  </cols>
  <sheetData>
    <row r="2" spans="1:10" x14ac:dyDescent="0.3">
      <c r="A2" s="14" t="s">
        <v>44</v>
      </c>
      <c r="B2" s="24" t="s">
        <v>43</v>
      </c>
      <c r="C2" s="24"/>
      <c r="D2" s="24"/>
      <c r="E2" s="24"/>
      <c r="F2" s="24"/>
      <c r="G2" s="24"/>
      <c r="H2" s="24"/>
      <c r="I2" s="24"/>
      <c r="J2" s="24"/>
    </row>
    <row r="4" spans="1:10" x14ac:dyDescent="0.3">
      <c r="B4" s="34" t="s">
        <v>45</v>
      </c>
      <c r="C4" s="34"/>
      <c r="D4" s="34"/>
      <c r="E4" s="34"/>
      <c r="F4" s="34"/>
      <c r="G4" s="34"/>
      <c r="H4" s="34"/>
      <c r="I4" s="34"/>
    </row>
    <row r="6" spans="1:10" x14ac:dyDescent="0.3">
      <c r="B6" s="43" t="s">
        <v>6</v>
      </c>
      <c r="C6" s="44" t="s">
        <v>7</v>
      </c>
      <c r="D6" s="44" t="s">
        <v>8</v>
      </c>
      <c r="E6" s="44" t="s">
        <v>9</v>
      </c>
      <c r="F6" s="45" t="s">
        <v>10</v>
      </c>
      <c r="H6" s="3" t="s">
        <v>18</v>
      </c>
      <c r="I6" t="s">
        <v>20</v>
      </c>
    </row>
    <row r="7" spans="1:10" x14ac:dyDescent="0.3">
      <c r="B7" s="41">
        <v>45292</v>
      </c>
      <c r="C7" s="9" t="s">
        <v>11</v>
      </c>
      <c r="D7" s="9" t="s">
        <v>12</v>
      </c>
      <c r="E7" s="9">
        <v>456</v>
      </c>
      <c r="F7" s="42">
        <v>93</v>
      </c>
      <c r="H7" s="4" t="s">
        <v>14</v>
      </c>
      <c r="I7" s="40">
        <v>2503</v>
      </c>
    </row>
    <row r="8" spans="1:10" x14ac:dyDescent="0.3">
      <c r="B8" s="41">
        <v>45301.526315789473</v>
      </c>
      <c r="C8" s="9" t="s">
        <v>13</v>
      </c>
      <c r="D8" s="9" t="s">
        <v>14</v>
      </c>
      <c r="E8" s="9">
        <v>348</v>
      </c>
      <c r="F8" s="42">
        <v>56</v>
      </c>
      <c r="H8" s="4" t="s">
        <v>19</v>
      </c>
      <c r="I8" s="40">
        <v>2503</v>
      </c>
    </row>
    <row r="9" spans="1:10" x14ac:dyDescent="0.3">
      <c r="B9" s="41">
        <v>45311.052631578947</v>
      </c>
      <c r="C9" s="9" t="s">
        <v>13</v>
      </c>
      <c r="D9" s="9" t="s">
        <v>12</v>
      </c>
      <c r="E9" s="9">
        <v>247</v>
      </c>
      <c r="F9" s="42">
        <v>76</v>
      </c>
    </row>
    <row r="10" spans="1:10" x14ac:dyDescent="0.3">
      <c r="B10" s="41">
        <v>45320.578947368413</v>
      </c>
      <c r="C10" s="9" t="s">
        <v>11</v>
      </c>
      <c r="D10" s="9" t="s">
        <v>15</v>
      </c>
      <c r="E10" s="9">
        <v>230</v>
      </c>
      <c r="F10" s="42">
        <v>37</v>
      </c>
    </row>
    <row r="11" spans="1:10" x14ac:dyDescent="0.3">
      <c r="B11" s="41">
        <v>45330.105263157893</v>
      </c>
      <c r="C11" s="9" t="s">
        <v>11</v>
      </c>
      <c r="D11" s="9" t="s">
        <v>12</v>
      </c>
      <c r="E11" s="9">
        <v>281</v>
      </c>
      <c r="F11" s="42">
        <v>50</v>
      </c>
    </row>
    <row r="12" spans="1:10" x14ac:dyDescent="0.3">
      <c r="B12" s="41">
        <v>45339.631578947359</v>
      </c>
      <c r="C12" s="9" t="s">
        <v>11</v>
      </c>
      <c r="D12" s="9" t="s">
        <v>14</v>
      </c>
      <c r="E12" s="9">
        <v>334</v>
      </c>
      <c r="F12" s="42">
        <v>52</v>
      </c>
    </row>
    <row r="13" spans="1:10" x14ac:dyDescent="0.3">
      <c r="B13" s="41">
        <v>45349.15789473684</v>
      </c>
      <c r="C13" s="9" t="s">
        <v>13</v>
      </c>
      <c r="D13" s="9" t="s">
        <v>15</v>
      </c>
      <c r="E13" s="9">
        <v>417</v>
      </c>
      <c r="F13" s="42">
        <v>29</v>
      </c>
    </row>
    <row r="14" spans="1:10" x14ac:dyDescent="0.3">
      <c r="B14" s="41">
        <v>45358.684210526313</v>
      </c>
      <c r="C14" s="9" t="s">
        <v>11</v>
      </c>
      <c r="D14" s="9" t="s">
        <v>15</v>
      </c>
      <c r="E14" s="9">
        <v>441</v>
      </c>
      <c r="F14" s="42">
        <v>44</v>
      </c>
    </row>
    <row r="15" spans="1:10" x14ac:dyDescent="0.3">
      <c r="B15" s="41">
        <v>45368.210526315786</v>
      </c>
      <c r="C15" s="9" t="s">
        <v>13</v>
      </c>
      <c r="D15" s="9" t="s">
        <v>12</v>
      </c>
      <c r="E15" s="9">
        <v>76</v>
      </c>
      <c r="F15" s="42">
        <v>63</v>
      </c>
    </row>
    <row r="16" spans="1:10" x14ac:dyDescent="0.3">
      <c r="B16" s="41">
        <v>45377.736842105252</v>
      </c>
      <c r="C16" s="9" t="s">
        <v>11</v>
      </c>
      <c r="D16" s="9" t="s">
        <v>14</v>
      </c>
      <c r="E16" s="9">
        <v>441</v>
      </c>
      <c r="F16" s="42">
        <v>79</v>
      </c>
    </row>
    <row r="17" spans="2:6" x14ac:dyDescent="0.3">
      <c r="B17" s="41">
        <v>45387.263157894733</v>
      </c>
      <c r="C17" s="9" t="s">
        <v>13</v>
      </c>
      <c r="D17" s="9" t="s">
        <v>12</v>
      </c>
      <c r="E17" s="9">
        <v>205</v>
      </c>
      <c r="F17" s="42">
        <v>23</v>
      </c>
    </row>
    <row r="18" spans="2:6" x14ac:dyDescent="0.3">
      <c r="B18" s="41">
        <v>45396.789473684199</v>
      </c>
      <c r="C18" s="9" t="s">
        <v>11</v>
      </c>
      <c r="D18" s="9" t="s">
        <v>14</v>
      </c>
      <c r="E18" s="9">
        <v>483</v>
      </c>
      <c r="F18" s="42">
        <v>97</v>
      </c>
    </row>
    <row r="19" spans="2:6" x14ac:dyDescent="0.3">
      <c r="B19" s="41">
        <v>45406.31578947368</v>
      </c>
      <c r="C19" s="9" t="s">
        <v>16</v>
      </c>
      <c r="D19" s="9" t="s">
        <v>12</v>
      </c>
      <c r="E19" s="9">
        <v>467</v>
      </c>
      <c r="F19" s="42">
        <v>97</v>
      </c>
    </row>
    <row r="20" spans="2:6" x14ac:dyDescent="0.3">
      <c r="B20" s="41">
        <v>45415.842105263153</v>
      </c>
      <c r="C20" s="9" t="s">
        <v>11</v>
      </c>
      <c r="D20" s="9" t="s">
        <v>12</v>
      </c>
      <c r="E20" s="9">
        <v>380</v>
      </c>
      <c r="F20" s="42">
        <v>92</v>
      </c>
    </row>
    <row r="21" spans="2:6" x14ac:dyDescent="0.3">
      <c r="B21" s="41">
        <v>45425.368421052633</v>
      </c>
      <c r="C21" s="9" t="s">
        <v>13</v>
      </c>
      <c r="D21" s="9" t="s">
        <v>14</v>
      </c>
      <c r="E21" s="9">
        <v>497</v>
      </c>
      <c r="F21" s="42">
        <v>71</v>
      </c>
    </row>
    <row r="22" spans="2:6" x14ac:dyDescent="0.3">
      <c r="B22" s="41">
        <v>45434.894736842092</v>
      </c>
      <c r="C22" s="9" t="s">
        <v>13</v>
      </c>
      <c r="D22" s="9" t="s">
        <v>12</v>
      </c>
      <c r="E22" s="9">
        <v>409</v>
      </c>
      <c r="F22" s="42">
        <v>81</v>
      </c>
    </row>
    <row r="23" spans="2:6" x14ac:dyDescent="0.3">
      <c r="B23" s="41">
        <v>45444.421052631573</v>
      </c>
      <c r="C23" s="9" t="s">
        <v>11</v>
      </c>
      <c r="D23" s="9" t="s">
        <v>14</v>
      </c>
      <c r="E23" s="9">
        <v>53</v>
      </c>
      <c r="F23" s="42">
        <v>45</v>
      </c>
    </row>
    <row r="24" spans="2:6" x14ac:dyDescent="0.3">
      <c r="B24" s="41">
        <v>45453.947368421039</v>
      </c>
      <c r="C24" s="9" t="s">
        <v>11</v>
      </c>
      <c r="D24" s="9" t="s">
        <v>15</v>
      </c>
      <c r="E24" s="9">
        <v>398</v>
      </c>
      <c r="F24" s="42">
        <v>33</v>
      </c>
    </row>
    <row r="25" spans="2:6" x14ac:dyDescent="0.3">
      <c r="B25" s="41">
        <v>45463.473684210519</v>
      </c>
      <c r="C25" s="9" t="s">
        <v>17</v>
      </c>
      <c r="D25" s="9" t="s">
        <v>14</v>
      </c>
      <c r="E25" s="9">
        <v>347</v>
      </c>
      <c r="F25" s="42">
        <v>35</v>
      </c>
    </row>
    <row r="26" spans="2:6" x14ac:dyDescent="0.3">
      <c r="B26" s="46">
        <v>45473</v>
      </c>
      <c r="C26" s="47" t="s">
        <v>13</v>
      </c>
      <c r="D26" s="47" t="s">
        <v>15</v>
      </c>
      <c r="E26" s="47">
        <v>319</v>
      </c>
      <c r="F26" s="48">
        <v>45</v>
      </c>
    </row>
  </sheetData>
  <mergeCells count="2">
    <mergeCell ref="B2:J2"/>
    <mergeCell ref="B4:I4"/>
  </mergeCells>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19BEC-720F-4F6D-8CC1-1D2A476E2C37}">
  <dimension ref="A2:O13"/>
  <sheetViews>
    <sheetView workbookViewId="0">
      <selection activeCell="F16" sqref="F16"/>
    </sheetView>
  </sheetViews>
  <sheetFormatPr defaultRowHeight="14.4" x14ac:dyDescent="0.3"/>
  <cols>
    <col min="2" max="2" width="15.5546875" customWidth="1"/>
  </cols>
  <sheetData>
    <row r="2" spans="1:15" x14ac:dyDescent="0.3">
      <c r="A2" s="6" t="s">
        <v>44</v>
      </c>
      <c r="B2" s="24" t="s">
        <v>46</v>
      </c>
      <c r="C2" s="24"/>
      <c r="D2" s="24"/>
      <c r="E2" s="24"/>
      <c r="F2" s="24"/>
      <c r="G2" s="24"/>
      <c r="H2" s="24"/>
      <c r="I2" s="24"/>
      <c r="J2" s="24"/>
      <c r="K2" s="24"/>
    </row>
    <row r="4" spans="1:15" x14ac:dyDescent="0.3">
      <c r="B4" s="35" t="s">
        <v>47</v>
      </c>
      <c r="C4" s="35"/>
      <c r="D4" s="35"/>
      <c r="E4" s="35"/>
      <c r="F4" s="35"/>
      <c r="G4" s="35"/>
      <c r="H4" s="35"/>
      <c r="I4" s="35"/>
      <c r="J4" s="35"/>
      <c r="K4" s="35"/>
      <c r="L4" s="35"/>
      <c r="M4" s="35"/>
      <c r="N4" s="35"/>
      <c r="O4" s="35"/>
    </row>
    <row r="5" spans="1:15" x14ac:dyDescent="0.3">
      <c r="B5" s="35"/>
      <c r="C5" s="35"/>
      <c r="D5" s="35"/>
      <c r="E5" s="35"/>
      <c r="F5" s="35"/>
      <c r="G5" s="35"/>
      <c r="H5" s="35"/>
      <c r="I5" s="35"/>
      <c r="J5" s="35"/>
      <c r="K5" s="35"/>
      <c r="L5" s="35"/>
      <c r="M5" s="35"/>
      <c r="N5" s="35"/>
      <c r="O5" s="35"/>
    </row>
    <row r="6" spans="1:15" ht="13.2" customHeight="1" x14ac:dyDescent="0.3">
      <c r="B6" s="35"/>
      <c r="C6" s="35"/>
      <c r="D6" s="35"/>
      <c r="E6" s="35"/>
      <c r="F6" s="35"/>
      <c r="G6" s="35"/>
      <c r="H6" s="35"/>
      <c r="I6" s="35"/>
      <c r="J6" s="35"/>
      <c r="K6" s="35"/>
      <c r="L6" s="35"/>
      <c r="M6" s="35"/>
      <c r="N6" s="35"/>
      <c r="O6" s="35"/>
    </row>
    <row r="7" spans="1:15" hidden="1" x14ac:dyDescent="0.3">
      <c r="B7" s="35"/>
      <c r="C7" s="35"/>
      <c r="D7" s="35"/>
      <c r="E7" s="35"/>
      <c r="F7" s="35"/>
      <c r="G7" s="35"/>
      <c r="H7" s="35"/>
      <c r="I7" s="35"/>
      <c r="J7" s="35"/>
      <c r="K7" s="35"/>
      <c r="L7" s="35"/>
      <c r="M7" s="35"/>
      <c r="N7" s="35"/>
      <c r="O7" s="35"/>
    </row>
    <row r="8" spans="1:15" hidden="1" x14ac:dyDescent="0.3">
      <c r="B8" s="35"/>
      <c r="C8" s="35"/>
      <c r="D8" s="35"/>
      <c r="E8" s="35"/>
      <c r="F8" s="35"/>
      <c r="G8" s="35"/>
      <c r="H8" s="35"/>
      <c r="I8" s="35"/>
      <c r="J8" s="35"/>
      <c r="K8" s="35"/>
      <c r="L8" s="35"/>
      <c r="M8" s="35"/>
      <c r="N8" s="35"/>
      <c r="O8" s="35"/>
    </row>
    <row r="9" spans="1:15" x14ac:dyDescent="0.3">
      <c r="A9" s="15" t="s">
        <v>53</v>
      </c>
      <c r="B9" s="36" t="s">
        <v>48</v>
      </c>
      <c r="C9" s="36"/>
      <c r="D9" s="36"/>
      <c r="E9" s="36"/>
      <c r="F9" s="36"/>
      <c r="G9" s="36"/>
      <c r="H9" s="36"/>
      <c r="I9" s="36"/>
      <c r="J9" s="36"/>
      <c r="K9" s="36"/>
      <c r="L9" s="36"/>
      <c r="M9" s="36"/>
      <c r="N9" s="36"/>
      <c r="O9" s="36"/>
    </row>
    <row r="10" spans="1:15" x14ac:dyDescent="0.3">
      <c r="A10" s="15" t="s">
        <v>53</v>
      </c>
      <c r="B10" s="36" t="s">
        <v>49</v>
      </c>
      <c r="C10" s="36"/>
      <c r="D10" s="36"/>
      <c r="E10" s="36"/>
      <c r="F10" s="36"/>
      <c r="G10" s="36"/>
      <c r="H10" s="36"/>
      <c r="I10" s="36"/>
      <c r="J10" s="36"/>
      <c r="K10" s="36"/>
      <c r="L10" s="36"/>
      <c r="M10" s="36"/>
      <c r="N10" s="36"/>
      <c r="O10" s="36"/>
    </row>
    <row r="11" spans="1:15" x14ac:dyDescent="0.3">
      <c r="A11" s="15" t="s">
        <v>53</v>
      </c>
      <c r="B11" s="36" t="s">
        <v>50</v>
      </c>
      <c r="C11" s="36"/>
      <c r="D11" s="36"/>
      <c r="E11" s="36"/>
      <c r="F11" s="36"/>
      <c r="G11" s="36"/>
      <c r="H11" s="36"/>
      <c r="I11" s="36"/>
      <c r="J11" s="36"/>
      <c r="K11" s="36"/>
      <c r="L11" s="36"/>
      <c r="M11" s="36"/>
      <c r="N11" s="36"/>
      <c r="O11" s="36"/>
    </row>
    <row r="12" spans="1:15" x14ac:dyDescent="0.3">
      <c r="A12" s="15" t="s">
        <v>53</v>
      </c>
      <c r="B12" s="36" t="s">
        <v>51</v>
      </c>
      <c r="C12" s="36"/>
      <c r="D12" s="36"/>
      <c r="E12" s="36"/>
      <c r="F12" s="36"/>
      <c r="G12" s="36"/>
      <c r="H12" s="36"/>
      <c r="I12" s="36"/>
      <c r="J12" s="36"/>
      <c r="K12" s="36"/>
      <c r="L12" s="36"/>
      <c r="M12" s="36"/>
      <c r="N12" s="36"/>
      <c r="O12" s="36"/>
    </row>
    <row r="13" spans="1:15" x14ac:dyDescent="0.3">
      <c r="A13" s="15" t="s">
        <v>53</v>
      </c>
      <c r="B13" s="36" t="s">
        <v>52</v>
      </c>
      <c r="C13" s="36"/>
      <c r="D13" s="36"/>
      <c r="E13" s="36"/>
      <c r="F13" s="36"/>
      <c r="G13" s="36"/>
      <c r="H13" s="36"/>
      <c r="I13" s="36"/>
      <c r="J13" s="36"/>
      <c r="K13" s="36"/>
      <c r="L13" s="36"/>
      <c r="M13" s="36"/>
      <c r="N13" s="36"/>
      <c r="O13" s="36"/>
    </row>
  </sheetData>
  <mergeCells count="7">
    <mergeCell ref="B2:K2"/>
    <mergeCell ref="B4:O8"/>
    <mergeCell ref="B9:O9"/>
    <mergeCell ref="B10:O10"/>
    <mergeCell ref="B13:O13"/>
    <mergeCell ref="B11:O11"/>
    <mergeCell ref="B12:O1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F5AB5-1BA6-44B1-A09D-D5D7BA892CDA}">
  <sheetPr>
    <pageSetUpPr autoPageBreaks="0"/>
  </sheetPr>
  <dimension ref="A1:T25"/>
  <sheetViews>
    <sheetView showGridLines="0" tabSelected="1" topLeftCell="C1" zoomScale="49" zoomScaleNormal="40" zoomScalePageLayoutView="41" workbookViewId="0">
      <selection activeCell="T10" sqref="T10"/>
    </sheetView>
  </sheetViews>
  <sheetFormatPr defaultRowHeight="14.4" x14ac:dyDescent="0.3"/>
  <cols>
    <col min="5" max="5" width="19.6640625" bestFit="1" customWidth="1"/>
    <col min="6" max="6" width="17.33203125" bestFit="1" customWidth="1"/>
    <col min="7" max="7" width="16.77734375" bestFit="1" customWidth="1"/>
    <col min="9" max="9" width="19.21875" bestFit="1" customWidth="1"/>
    <col min="10" max="10" width="19.6640625" bestFit="1" customWidth="1"/>
    <col min="11" max="11" width="17.33203125" bestFit="1" customWidth="1"/>
    <col min="12" max="12" width="11.6640625" bestFit="1" customWidth="1"/>
    <col min="13" max="13" width="19.6640625" bestFit="1" customWidth="1"/>
    <col min="14" max="14" width="17.33203125" bestFit="1" customWidth="1"/>
    <col min="16" max="16" width="9.5546875" customWidth="1"/>
    <col min="18" max="20" width="10.21875" customWidth="1"/>
    <col min="23" max="23" width="12.5546875" bestFit="1" customWidth="1"/>
    <col min="24" max="24" width="11.6640625" bestFit="1" customWidth="1"/>
  </cols>
  <sheetData>
    <row r="1" spans="1:20" ht="55.2" customHeight="1" x14ac:dyDescent="0.3">
      <c r="B1" s="17" t="s">
        <v>54</v>
      </c>
      <c r="C1" s="37" t="s">
        <v>55</v>
      </c>
      <c r="D1" s="37"/>
      <c r="E1" s="37"/>
      <c r="F1" s="37"/>
      <c r="G1" s="37"/>
    </row>
    <row r="2" spans="1:20" ht="14.4" customHeight="1" x14ac:dyDescent="0.3">
      <c r="A2" s="18"/>
      <c r="B2" s="38" t="s">
        <v>56</v>
      </c>
      <c r="C2" s="38"/>
      <c r="D2" s="38"/>
      <c r="E2" s="38"/>
      <c r="F2" s="38"/>
      <c r="G2" s="38"/>
      <c r="H2" s="38"/>
      <c r="I2" s="38"/>
      <c r="J2" s="38"/>
      <c r="K2" s="38"/>
      <c r="L2" s="38"/>
      <c r="M2" s="38"/>
      <c r="N2" s="38"/>
      <c r="O2" s="38"/>
      <c r="P2" s="38"/>
      <c r="Q2" s="38"/>
      <c r="R2" s="38"/>
    </row>
    <row r="3" spans="1:20" ht="14.4" customHeight="1" x14ac:dyDescent="0.3">
      <c r="A3" s="18"/>
      <c r="B3" s="38"/>
      <c r="C3" s="38"/>
      <c r="D3" s="38"/>
      <c r="E3" s="38"/>
      <c r="F3" s="38"/>
      <c r="G3" s="38"/>
      <c r="H3" s="38"/>
      <c r="I3" s="38"/>
      <c r="J3" s="38"/>
      <c r="K3" s="38"/>
      <c r="L3" s="38"/>
      <c r="M3" s="38"/>
      <c r="N3" s="38"/>
      <c r="O3" s="38"/>
      <c r="P3" s="38"/>
      <c r="Q3" s="38"/>
      <c r="R3" s="38"/>
    </row>
    <row r="4" spans="1:20" ht="37.799999999999997" customHeight="1" x14ac:dyDescent="0.3">
      <c r="N4" s="54"/>
      <c r="O4" s="54"/>
      <c r="P4" s="54"/>
      <c r="Q4" s="54"/>
      <c r="R4" s="54"/>
      <c r="S4" s="16"/>
      <c r="T4" s="16"/>
    </row>
    <row r="5" spans="1:20" x14ac:dyDescent="0.3">
      <c r="N5" s="55"/>
      <c r="O5" s="56"/>
      <c r="P5" s="56"/>
      <c r="Q5" s="56"/>
      <c r="R5" s="56"/>
    </row>
    <row r="6" spans="1:20" x14ac:dyDescent="0.3">
      <c r="N6" s="55"/>
      <c r="O6" s="56"/>
      <c r="P6" s="56"/>
      <c r="Q6" s="56"/>
      <c r="R6" s="56"/>
    </row>
    <row r="7" spans="1:20" x14ac:dyDescent="0.3">
      <c r="N7" s="55"/>
      <c r="O7" s="56"/>
      <c r="P7" s="56"/>
      <c r="Q7" s="56"/>
      <c r="R7" s="56"/>
    </row>
    <row r="8" spans="1:20" x14ac:dyDescent="0.3">
      <c r="N8" s="55"/>
      <c r="O8" s="56"/>
      <c r="P8" s="56"/>
      <c r="Q8" s="56"/>
      <c r="R8" s="56"/>
    </row>
    <row r="9" spans="1:20" x14ac:dyDescent="0.3">
      <c r="N9" s="55"/>
      <c r="O9" s="56"/>
      <c r="P9" s="56"/>
      <c r="Q9" s="56"/>
      <c r="R9" s="56"/>
    </row>
    <row r="10" spans="1:20" x14ac:dyDescent="0.3">
      <c r="N10" s="55"/>
      <c r="O10" s="56"/>
      <c r="P10" s="56"/>
      <c r="Q10" s="56"/>
      <c r="R10" s="56"/>
    </row>
    <row r="11" spans="1:20" x14ac:dyDescent="0.3">
      <c r="N11" s="55"/>
      <c r="O11" s="56"/>
      <c r="P11" s="56"/>
    </row>
    <row r="12" spans="1:20" x14ac:dyDescent="0.3">
      <c r="N12" s="55"/>
      <c r="O12" s="56"/>
      <c r="P12" s="56"/>
    </row>
    <row r="13" spans="1:20" x14ac:dyDescent="0.3">
      <c r="N13" s="55"/>
      <c r="O13" s="56"/>
      <c r="P13" s="56"/>
    </row>
    <row r="14" spans="1:20" x14ac:dyDescent="0.3">
      <c r="N14" s="55"/>
      <c r="O14" s="56"/>
      <c r="P14" s="56"/>
    </row>
    <row r="15" spans="1:20" x14ac:dyDescent="0.3">
      <c r="N15" s="55"/>
      <c r="O15" s="56"/>
      <c r="P15" s="56"/>
    </row>
    <row r="16" spans="1:20" x14ac:dyDescent="0.3">
      <c r="M16" s="3" t="s">
        <v>18</v>
      </c>
      <c r="N16" t="s">
        <v>20</v>
      </c>
      <c r="P16" s="56"/>
    </row>
    <row r="17" spans="5:18" x14ac:dyDescent="0.3">
      <c r="E17" s="3" t="s">
        <v>18</v>
      </c>
      <c r="F17" t="s">
        <v>20</v>
      </c>
      <c r="M17" s="4" t="s">
        <v>37</v>
      </c>
      <c r="N17" s="40">
        <v>703</v>
      </c>
      <c r="P17" s="56"/>
    </row>
    <row r="18" spans="5:18" x14ac:dyDescent="0.3">
      <c r="E18" s="4" t="s">
        <v>16</v>
      </c>
      <c r="F18" s="40">
        <v>467</v>
      </c>
      <c r="M18" s="4" t="s">
        <v>38</v>
      </c>
      <c r="N18" s="40">
        <v>281</v>
      </c>
      <c r="P18" s="56"/>
      <c r="Q18" s="56"/>
      <c r="R18" s="56"/>
    </row>
    <row r="19" spans="5:18" x14ac:dyDescent="0.3">
      <c r="E19" s="4" t="s">
        <v>13</v>
      </c>
      <c r="F19" s="40">
        <v>937</v>
      </c>
      <c r="M19" s="4" t="s">
        <v>39</v>
      </c>
      <c r="N19" s="40">
        <v>76</v>
      </c>
      <c r="P19" s="56"/>
      <c r="Q19" s="56"/>
      <c r="R19" s="56"/>
    </row>
    <row r="20" spans="5:18" x14ac:dyDescent="0.3">
      <c r="E20" s="4" t="s">
        <v>11</v>
      </c>
      <c r="F20" s="40">
        <v>1117</v>
      </c>
      <c r="M20" s="4" t="s">
        <v>40</v>
      </c>
      <c r="N20" s="40">
        <v>672</v>
      </c>
      <c r="P20" s="56"/>
      <c r="Q20" s="56"/>
      <c r="R20" s="56"/>
    </row>
    <row r="21" spans="5:18" x14ac:dyDescent="0.3">
      <c r="E21" s="4" t="s">
        <v>19</v>
      </c>
      <c r="F21" s="40">
        <v>2521</v>
      </c>
      <c r="M21" s="4" t="s">
        <v>41</v>
      </c>
      <c r="N21" s="40">
        <v>789</v>
      </c>
      <c r="P21" s="56"/>
      <c r="Q21" s="56"/>
      <c r="R21" s="56"/>
    </row>
    <row r="22" spans="5:18" x14ac:dyDescent="0.3">
      <c r="M22" s="4" t="s">
        <v>19</v>
      </c>
      <c r="N22" s="40">
        <v>2521</v>
      </c>
      <c r="P22" s="56"/>
      <c r="Q22" s="56"/>
      <c r="R22" s="56"/>
    </row>
    <row r="23" spans="5:18" x14ac:dyDescent="0.3">
      <c r="E23" s="56"/>
      <c r="F23" s="56"/>
      <c r="P23" s="56"/>
      <c r="Q23" s="56"/>
      <c r="R23" s="56"/>
    </row>
    <row r="24" spans="5:18" x14ac:dyDescent="0.3">
      <c r="N24" s="55"/>
      <c r="O24" s="56"/>
      <c r="P24" s="56"/>
      <c r="Q24" s="56"/>
      <c r="R24" s="56"/>
    </row>
    <row r="25" spans="5:18" x14ac:dyDescent="0.3">
      <c r="N25" s="56"/>
      <c r="O25" s="56"/>
      <c r="P25" s="56"/>
      <c r="Q25" s="56"/>
      <c r="R25" s="56"/>
    </row>
  </sheetData>
  <mergeCells count="2">
    <mergeCell ref="C1:G1"/>
    <mergeCell ref="B2:R3"/>
  </mergeCells>
  <pageMargins left="0.7" right="0.7" top="0.75" bottom="0.75" header="0.3" footer="0.3"/>
  <pageSetup orientation="portrait" r:id="rId3"/>
  <drawing r:id="rId4"/>
  <extLst>
    <ext xmlns:x14="http://schemas.microsoft.com/office/spreadsheetml/2009/9/main" uri="{A8765BA9-456A-4dab-B4F3-ACF838C121DE}">
      <x14:slicerList>
        <x14:slicer r:id="rId5"/>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3ADFD7-E96A-4C40-820C-BB02E9AA57DC}">
  <dimension ref="A2:P27"/>
  <sheetViews>
    <sheetView workbookViewId="0">
      <selection activeCell="L15" sqref="L15"/>
    </sheetView>
  </sheetViews>
  <sheetFormatPr defaultRowHeight="14.4" x14ac:dyDescent="0.3"/>
  <cols>
    <col min="2" max="2" width="18.109375" bestFit="1" customWidth="1"/>
    <col min="8" max="8" width="12.5546875" bestFit="1" customWidth="1"/>
    <col min="9" max="9" width="14.88671875" bestFit="1" customWidth="1"/>
  </cols>
  <sheetData>
    <row r="2" spans="1:16" x14ac:dyDescent="0.3">
      <c r="A2" s="6" t="s">
        <v>57</v>
      </c>
      <c r="B2" s="24" t="s">
        <v>58</v>
      </c>
      <c r="C2" s="24"/>
      <c r="D2" s="24"/>
      <c r="E2" s="24"/>
      <c r="F2" s="24"/>
      <c r="G2" s="24"/>
      <c r="H2" s="24"/>
      <c r="I2" s="24"/>
      <c r="J2" s="24"/>
      <c r="K2" s="24"/>
      <c r="L2" s="24"/>
    </row>
    <row r="3" spans="1:16" ht="14.4" customHeight="1" x14ac:dyDescent="0.3">
      <c r="A3" t="s">
        <v>2</v>
      </c>
      <c r="B3" s="39" t="s">
        <v>59</v>
      </c>
      <c r="C3" s="39"/>
      <c r="D3" s="39"/>
      <c r="E3" s="39"/>
      <c r="F3" s="39"/>
      <c r="G3" s="39"/>
      <c r="H3" s="39"/>
      <c r="I3" s="39"/>
      <c r="J3" s="39"/>
      <c r="K3" s="39"/>
      <c r="L3" s="39"/>
      <c r="M3" s="20"/>
      <c r="N3" s="20"/>
      <c r="O3" s="20"/>
      <c r="P3" s="20"/>
    </row>
    <row r="4" spans="1:16" x14ac:dyDescent="0.3">
      <c r="B4" s="39"/>
      <c r="C4" s="39"/>
      <c r="D4" s="39"/>
      <c r="E4" s="39"/>
      <c r="F4" s="39"/>
      <c r="G4" s="39"/>
      <c r="H4" s="39"/>
      <c r="I4" s="39"/>
      <c r="J4" s="39"/>
      <c r="K4" s="39"/>
      <c r="L4" s="39"/>
      <c r="M4" s="20"/>
      <c r="N4" s="20"/>
      <c r="O4" s="20"/>
      <c r="P4" s="20"/>
    </row>
    <row r="5" spans="1:16" x14ac:dyDescent="0.3">
      <c r="B5" s="39"/>
      <c r="C5" s="39"/>
      <c r="D5" s="39"/>
      <c r="E5" s="39"/>
      <c r="F5" s="39"/>
      <c r="G5" s="39"/>
      <c r="H5" s="39"/>
      <c r="I5" s="39"/>
      <c r="J5" s="39"/>
      <c r="K5" s="39"/>
      <c r="L5" s="39"/>
      <c r="M5" s="19"/>
      <c r="N5" s="19"/>
      <c r="O5" s="19"/>
      <c r="P5" s="19"/>
    </row>
    <row r="7" spans="1:16" x14ac:dyDescent="0.3">
      <c r="B7" s="7" t="s">
        <v>6</v>
      </c>
      <c r="C7" s="7" t="s">
        <v>7</v>
      </c>
      <c r="D7" s="7" t="s">
        <v>8</v>
      </c>
      <c r="E7" s="7" t="s">
        <v>9</v>
      </c>
      <c r="F7" s="7" t="s">
        <v>10</v>
      </c>
      <c r="H7" s="9" t="s">
        <v>18</v>
      </c>
      <c r="I7" s="9" t="s">
        <v>66</v>
      </c>
    </row>
    <row r="8" spans="1:16" x14ac:dyDescent="0.3">
      <c r="B8" s="8">
        <v>45292</v>
      </c>
      <c r="C8" s="9" t="s">
        <v>11</v>
      </c>
      <c r="D8" s="9" t="s">
        <v>12</v>
      </c>
      <c r="E8" s="9">
        <v>456</v>
      </c>
      <c r="F8" s="9">
        <v>93</v>
      </c>
      <c r="H8" s="11" t="s">
        <v>37</v>
      </c>
      <c r="I8" s="49">
        <v>320.25</v>
      </c>
    </row>
    <row r="9" spans="1:16" x14ac:dyDescent="0.3">
      <c r="B9" s="8">
        <v>45301.526315789473</v>
      </c>
      <c r="C9" s="9" t="s">
        <v>13</v>
      </c>
      <c r="D9" s="9" t="s">
        <v>14</v>
      </c>
      <c r="E9" s="9">
        <v>348</v>
      </c>
      <c r="F9" s="9">
        <v>56</v>
      </c>
      <c r="H9" s="50" t="s">
        <v>62</v>
      </c>
      <c r="I9" s="49">
        <v>456</v>
      </c>
    </row>
    <row r="10" spans="1:16" x14ac:dyDescent="0.3">
      <c r="B10" s="8">
        <v>45311.052631578947</v>
      </c>
      <c r="C10" s="9" t="s">
        <v>13</v>
      </c>
      <c r="D10" s="9" t="s">
        <v>12</v>
      </c>
      <c r="E10" s="9">
        <v>247</v>
      </c>
      <c r="F10" s="9">
        <v>76</v>
      </c>
      <c r="H10" s="50" t="s">
        <v>63</v>
      </c>
      <c r="I10" s="49">
        <v>348</v>
      </c>
    </row>
    <row r="11" spans="1:16" x14ac:dyDescent="0.3">
      <c r="B11" s="8">
        <v>45320.578947368413</v>
      </c>
      <c r="C11" s="9" t="s">
        <v>11</v>
      </c>
      <c r="D11" s="9" t="s">
        <v>15</v>
      </c>
      <c r="E11" s="9">
        <v>230</v>
      </c>
      <c r="F11" s="9">
        <v>37</v>
      </c>
      <c r="H11" s="50" t="s">
        <v>64</v>
      </c>
      <c r="I11" s="49">
        <v>247</v>
      </c>
    </row>
    <row r="12" spans="1:16" x14ac:dyDescent="0.3">
      <c r="B12" s="8">
        <v>45330.105263157893</v>
      </c>
      <c r="C12" s="9" t="s">
        <v>11</v>
      </c>
      <c r="D12" s="9" t="s">
        <v>12</v>
      </c>
      <c r="E12" s="9">
        <v>281</v>
      </c>
      <c r="F12" s="9">
        <v>50</v>
      </c>
      <c r="H12" s="50" t="s">
        <v>65</v>
      </c>
      <c r="I12" s="49">
        <v>230</v>
      </c>
    </row>
    <row r="13" spans="1:16" x14ac:dyDescent="0.3">
      <c r="B13" s="8">
        <v>45339.631578947359</v>
      </c>
      <c r="C13" s="9" t="s">
        <v>11</v>
      </c>
      <c r="D13" s="9" t="s">
        <v>14</v>
      </c>
      <c r="E13" s="9">
        <v>334</v>
      </c>
      <c r="F13" s="9">
        <v>52</v>
      </c>
      <c r="H13" s="11" t="s">
        <v>38</v>
      </c>
      <c r="I13" s="49">
        <v>344</v>
      </c>
    </row>
    <row r="14" spans="1:16" x14ac:dyDescent="0.3">
      <c r="B14" s="8">
        <v>45349.15789473684</v>
      </c>
      <c r="C14" s="9" t="s">
        <v>13</v>
      </c>
      <c r="D14" s="9" t="s">
        <v>15</v>
      </c>
      <c r="E14" s="9">
        <v>417</v>
      </c>
      <c r="F14" s="9">
        <v>29</v>
      </c>
      <c r="H14" s="11" t="s">
        <v>39</v>
      </c>
      <c r="I14" s="49">
        <v>319.33333333333331</v>
      </c>
    </row>
    <row r="15" spans="1:16" x14ac:dyDescent="0.3">
      <c r="B15" s="8">
        <v>45358.684210526313</v>
      </c>
      <c r="C15" s="9" t="s">
        <v>11</v>
      </c>
      <c r="D15" s="9" t="s">
        <v>15</v>
      </c>
      <c r="E15" s="9">
        <v>441</v>
      </c>
      <c r="F15" s="9">
        <v>44</v>
      </c>
      <c r="H15" s="11" t="s">
        <v>40</v>
      </c>
      <c r="I15" s="49">
        <v>385</v>
      </c>
    </row>
    <row r="16" spans="1:16" x14ac:dyDescent="0.3">
      <c r="B16" s="8">
        <v>45368.210526315786</v>
      </c>
      <c r="C16" s="9" t="s">
        <v>13</v>
      </c>
      <c r="D16" s="9" t="s">
        <v>12</v>
      </c>
      <c r="E16" s="9">
        <v>76</v>
      </c>
      <c r="F16" s="9">
        <v>63</v>
      </c>
      <c r="H16" s="11" t="s">
        <v>41</v>
      </c>
      <c r="I16" s="49">
        <v>428.66666666666669</v>
      </c>
    </row>
    <row r="17" spans="2:9" x14ac:dyDescent="0.3">
      <c r="B17" s="8">
        <v>45377.736842105252</v>
      </c>
      <c r="C17" s="9" t="s">
        <v>11</v>
      </c>
      <c r="D17" s="9" t="s">
        <v>14</v>
      </c>
      <c r="E17" s="9">
        <v>441</v>
      </c>
      <c r="F17" s="9">
        <v>79</v>
      </c>
      <c r="H17" s="11" t="s">
        <v>42</v>
      </c>
      <c r="I17" s="49">
        <v>279.25</v>
      </c>
    </row>
    <row r="18" spans="2:9" x14ac:dyDescent="0.3">
      <c r="B18" s="8">
        <v>45387.263157894733</v>
      </c>
      <c r="C18" s="9" t="s">
        <v>13</v>
      </c>
      <c r="D18" s="9" t="s">
        <v>12</v>
      </c>
      <c r="E18" s="9">
        <v>205</v>
      </c>
      <c r="F18" s="9">
        <v>23</v>
      </c>
      <c r="H18" s="11" t="s">
        <v>19</v>
      </c>
      <c r="I18" s="49">
        <v>341.45</v>
      </c>
    </row>
    <row r="19" spans="2:9" x14ac:dyDescent="0.3">
      <c r="B19" s="8">
        <v>45396.789473684199</v>
      </c>
      <c r="C19" s="9" t="s">
        <v>11</v>
      </c>
      <c r="D19" s="9" t="s">
        <v>14</v>
      </c>
      <c r="E19" s="9">
        <v>483</v>
      </c>
      <c r="F19" s="9">
        <v>97</v>
      </c>
    </row>
    <row r="20" spans="2:9" x14ac:dyDescent="0.3">
      <c r="B20" s="8">
        <v>45406.31578947368</v>
      </c>
      <c r="C20" s="9" t="s">
        <v>16</v>
      </c>
      <c r="D20" s="9" t="s">
        <v>12</v>
      </c>
      <c r="E20" s="9">
        <v>467</v>
      </c>
      <c r="F20" s="9">
        <v>97</v>
      </c>
    </row>
    <row r="21" spans="2:9" x14ac:dyDescent="0.3">
      <c r="B21" s="8">
        <v>45415.842105263153</v>
      </c>
      <c r="C21" s="9" t="s">
        <v>11</v>
      </c>
      <c r="D21" s="9" t="s">
        <v>12</v>
      </c>
      <c r="E21" s="9">
        <v>380</v>
      </c>
      <c r="F21" s="9">
        <v>92</v>
      </c>
    </row>
    <row r="22" spans="2:9" x14ac:dyDescent="0.3">
      <c r="B22" s="8">
        <v>45425.368421052633</v>
      </c>
      <c r="C22" s="9" t="s">
        <v>13</v>
      </c>
      <c r="D22" s="9" t="s">
        <v>14</v>
      </c>
      <c r="E22" s="9">
        <v>497</v>
      </c>
      <c r="F22" s="9">
        <v>71</v>
      </c>
    </row>
    <row r="23" spans="2:9" x14ac:dyDescent="0.3">
      <c r="B23" s="8">
        <v>45434.894736842092</v>
      </c>
      <c r="C23" s="9" t="s">
        <v>13</v>
      </c>
      <c r="D23" s="9" t="s">
        <v>12</v>
      </c>
      <c r="E23" s="9">
        <v>409</v>
      </c>
      <c r="F23" s="9">
        <v>81</v>
      </c>
    </row>
    <row r="24" spans="2:9" x14ac:dyDescent="0.3">
      <c r="B24" s="8">
        <v>45444.421052631573</v>
      </c>
      <c r="C24" s="9" t="s">
        <v>11</v>
      </c>
      <c r="D24" s="9" t="s">
        <v>14</v>
      </c>
      <c r="E24" s="9">
        <v>53</v>
      </c>
      <c r="F24" s="9">
        <v>45</v>
      </c>
    </row>
    <row r="25" spans="2:9" x14ac:dyDescent="0.3">
      <c r="B25" s="8">
        <v>45453.947368421039</v>
      </c>
      <c r="C25" s="9" t="s">
        <v>11</v>
      </c>
      <c r="D25" s="9" t="s">
        <v>15</v>
      </c>
      <c r="E25" s="9">
        <v>398</v>
      </c>
      <c r="F25" s="9">
        <v>33</v>
      </c>
    </row>
    <row r="26" spans="2:9" x14ac:dyDescent="0.3">
      <c r="B26" s="8">
        <v>45463.473684210519</v>
      </c>
      <c r="C26" s="9" t="s">
        <v>17</v>
      </c>
      <c r="D26" s="9" t="s">
        <v>14</v>
      </c>
      <c r="E26" s="9">
        <v>347</v>
      </c>
      <c r="F26" s="9">
        <v>35</v>
      </c>
    </row>
    <row r="27" spans="2:9" x14ac:dyDescent="0.3">
      <c r="B27" s="8">
        <v>45473</v>
      </c>
      <c r="C27" s="9" t="s">
        <v>13</v>
      </c>
      <c r="D27" s="9" t="s">
        <v>15</v>
      </c>
      <c r="E27" s="9">
        <v>319</v>
      </c>
      <c r="F27" s="9">
        <v>45</v>
      </c>
    </row>
  </sheetData>
  <mergeCells count="2">
    <mergeCell ref="B2:L2"/>
    <mergeCell ref="B3:L5"/>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F1885-AB99-4807-9050-944D2EE6DBC4}">
  <dimension ref="A2:N26"/>
  <sheetViews>
    <sheetView workbookViewId="0">
      <selection activeCell="H12" sqref="H12"/>
    </sheetView>
  </sheetViews>
  <sheetFormatPr defaultRowHeight="14.4" x14ac:dyDescent="0.3"/>
  <cols>
    <col min="2" max="2" width="18.109375" bestFit="1" customWidth="1"/>
    <col min="8" max="8" width="12.5546875" bestFit="1" customWidth="1"/>
    <col min="9" max="9" width="11.6640625" bestFit="1" customWidth="1"/>
  </cols>
  <sheetData>
    <row r="2" spans="1:14" x14ac:dyDescent="0.3">
      <c r="A2" s="21" t="s">
        <v>61</v>
      </c>
      <c r="B2" s="24" t="s">
        <v>60</v>
      </c>
      <c r="C2" s="24"/>
      <c r="D2" s="24"/>
      <c r="E2" s="24"/>
      <c r="F2" s="24"/>
      <c r="G2" s="24"/>
      <c r="H2" s="24"/>
      <c r="I2" s="24"/>
      <c r="J2" s="24"/>
      <c r="K2" s="24"/>
      <c r="L2" s="24"/>
    </row>
    <row r="3" spans="1:14" x14ac:dyDescent="0.3">
      <c r="A3" s="21"/>
      <c r="B3" s="1"/>
      <c r="C3" s="1"/>
      <c r="D3" s="1"/>
      <c r="E3" s="1"/>
      <c r="F3" s="1"/>
      <c r="G3" s="1"/>
      <c r="H3" s="1"/>
      <c r="I3" s="1"/>
      <c r="J3" s="1"/>
      <c r="K3" s="1"/>
      <c r="L3" s="1"/>
    </row>
    <row r="6" spans="1:14" x14ac:dyDescent="0.3">
      <c r="A6" s="5" t="s">
        <v>2</v>
      </c>
      <c r="B6" s="7" t="s">
        <v>6</v>
      </c>
      <c r="C6" s="7" t="s">
        <v>7</v>
      </c>
      <c r="D6" s="7" t="s">
        <v>8</v>
      </c>
      <c r="E6" s="7" t="s">
        <v>9</v>
      </c>
      <c r="F6" s="7" t="s">
        <v>10</v>
      </c>
      <c r="M6" s="2"/>
      <c r="N6" s="2"/>
    </row>
    <row r="7" spans="1:14" x14ac:dyDescent="0.3">
      <c r="B7" s="8">
        <v>45292</v>
      </c>
      <c r="C7" s="9" t="s">
        <v>11</v>
      </c>
      <c r="D7" s="9" t="s">
        <v>12</v>
      </c>
      <c r="E7" s="9">
        <v>456</v>
      </c>
      <c r="F7" s="9">
        <v>93</v>
      </c>
    </row>
    <row r="8" spans="1:14" x14ac:dyDescent="0.3">
      <c r="B8" s="8">
        <v>45301.526315789473</v>
      </c>
      <c r="C8" s="9" t="s">
        <v>13</v>
      </c>
      <c r="D8" s="9" t="s">
        <v>14</v>
      </c>
      <c r="E8" s="9">
        <v>348</v>
      </c>
      <c r="F8" s="9">
        <v>56</v>
      </c>
    </row>
    <row r="9" spans="1:14" x14ac:dyDescent="0.3">
      <c r="B9" s="8">
        <v>45311.052631578947</v>
      </c>
      <c r="C9" s="9" t="s">
        <v>13</v>
      </c>
      <c r="D9" s="9" t="s">
        <v>12</v>
      </c>
      <c r="E9" s="9">
        <v>247</v>
      </c>
      <c r="F9" s="9">
        <v>76</v>
      </c>
    </row>
    <row r="10" spans="1:14" x14ac:dyDescent="0.3">
      <c r="B10" s="8">
        <v>45320.578947368413</v>
      </c>
      <c r="C10" s="9" t="s">
        <v>11</v>
      </c>
      <c r="D10" s="9" t="s">
        <v>15</v>
      </c>
      <c r="E10" s="9">
        <v>230</v>
      </c>
      <c r="F10" s="9">
        <v>37</v>
      </c>
    </row>
    <row r="11" spans="1:14" x14ac:dyDescent="0.3">
      <c r="B11" s="8">
        <v>45330.105263157893</v>
      </c>
      <c r="C11" s="9" t="s">
        <v>11</v>
      </c>
      <c r="D11" s="9" t="s">
        <v>12</v>
      </c>
      <c r="E11" s="9">
        <v>281</v>
      </c>
      <c r="F11" s="9">
        <v>50</v>
      </c>
      <c r="H11" s="3" t="s">
        <v>18</v>
      </c>
      <c r="I11" t="s">
        <v>20</v>
      </c>
    </row>
    <row r="12" spans="1:14" x14ac:dyDescent="0.3">
      <c r="B12" s="8">
        <v>45339.631578947359</v>
      </c>
      <c r="C12" s="9" t="s">
        <v>11</v>
      </c>
      <c r="D12" s="9" t="s">
        <v>14</v>
      </c>
      <c r="E12" s="9">
        <v>334</v>
      </c>
      <c r="F12" s="9">
        <v>52</v>
      </c>
      <c r="H12" s="4" t="s">
        <v>67</v>
      </c>
      <c r="I12" s="40">
        <v>4308</v>
      </c>
    </row>
    <row r="13" spans="1:14" x14ac:dyDescent="0.3">
      <c r="B13" s="8">
        <v>45349.15789473684</v>
      </c>
      <c r="C13" s="9" t="s">
        <v>13</v>
      </c>
      <c r="D13" s="9" t="s">
        <v>15</v>
      </c>
      <c r="E13" s="9">
        <v>417</v>
      </c>
      <c r="F13" s="9">
        <v>29</v>
      </c>
      <c r="H13" s="4" t="s">
        <v>12</v>
      </c>
      <c r="I13" s="40">
        <v>2521</v>
      </c>
    </row>
    <row r="14" spans="1:14" x14ac:dyDescent="0.3">
      <c r="B14" s="8">
        <v>45358.684210526313</v>
      </c>
      <c r="C14" s="9" t="s">
        <v>11</v>
      </c>
      <c r="D14" s="9" t="s">
        <v>15</v>
      </c>
      <c r="E14" s="9">
        <v>441</v>
      </c>
      <c r="F14" s="9">
        <v>44</v>
      </c>
      <c r="H14" s="4" t="s">
        <v>19</v>
      </c>
      <c r="I14" s="40">
        <v>6829</v>
      </c>
    </row>
    <row r="15" spans="1:14" x14ac:dyDescent="0.3">
      <c r="B15" s="8">
        <v>45368.210526315786</v>
      </c>
      <c r="C15" s="9" t="s">
        <v>13</v>
      </c>
      <c r="D15" s="9" t="s">
        <v>12</v>
      </c>
      <c r="E15" s="9">
        <v>76</v>
      </c>
      <c r="F15" s="9">
        <v>63</v>
      </c>
    </row>
    <row r="16" spans="1:14" x14ac:dyDescent="0.3">
      <c r="B16" s="8">
        <v>45377.736842105252</v>
      </c>
      <c r="C16" s="9" t="s">
        <v>11</v>
      </c>
      <c r="D16" s="9" t="s">
        <v>14</v>
      </c>
      <c r="E16" s="9">
        <v>441</v>
      </c>
      <c r="F16" s="9">
        <v>79</v>
      </c>
    </row>
    <row r="17" spans="2:6" x14ac:dyDescent="0.3">
      <c r="B17" s="8">
        <v>45387.263157894733</v>
      </c>
      <c r="C17" s="9" t="s">
        <v>13</v>
      </c>
      <c r="D17" s="9" t="s">
        <v>12</v>
      </c>
      <c r="E17" s="9">
        <v>205</v>
      </c>
      <c r="F17" s="9">
        <v>23</v>
      </c>
    </row>
    <row r="18" spans="2:6" x14ac:dyDescent="0.3">
      <c r="B18" s="8">
        <v>45396.789473684199</v>
      </c>
      <c r="C18" s="9" t="s">
        <v>11</v>
      </c>
      <c r="D18" s="9" t="s">
        <v>14</v>
      </c>
      <c r="E18" s="9">
        <v>483</v>
      </c>
      <c r="F18" s="9">
        <v>97</v>
      </c>
    </row>
    <row r="19" spans="2:6" x14ac:dyDescent="0.3">
      <c r="B19" s="8">
        <v>45406.31578947368</v>
      </c>
      <c r="C19" s="9" t="s">
        <v>16</v>
      </c>
      <c r="D19" s="9" t="s">
        <v>12</v>
      </c>
      <c r="E19" s="9">
        <v>467</v>
      </c>
      <c r="F19" s="9">
        <v>97</v>
      </c>
    </row>
    <row r="20" spans="2:6" x14ac:dyDescent="0.3">
      <c r="B20" s="8">
        <v>45415.842105263153</v>
      </c>
      <c r="C20" s="9" t="s">
        <v>11</v>
      </c>
      <c r="D20" s="9" t="s">
        <v>12</v>
      </c>
      <c r="E20" s="9">
        <v>380</v>
      </c>
      <c r="F20" s="9">
        <v>92</v>
      </c>
    </row>
    <row r="21" spans="2:6" x14ac:dyDescent="0.3">
      <c r="B21" s="8">
        <v>45425.368421052633</v>
      </c>
      <c r="C21" s="9" t="s">
        <v>13</v>
      </c>
      <c r="D21" s="9" t="s">
        <v>14</v>
      </c>
      <c r="E21" s="9">
        <v>497</v>
      </c>
      <c r="F21" s="9">
        <v>71</v>
      </c>
    </row>
    <row r="22" spans="2:6" x14ac:dyDescent="0.3">
      <c r="B22" s="8">
        <v>45434.894736842092</v>
      </c>
      <c r="C22" s="9" t="s">
        <v>13</v>
      </c>
      <c r="D22" s="9" t="s">
        <v>12</v>
      </c>
      <c r="E22" s="9">
        <v>409</v>
      </c>
      <c r="F22" s="9">
        <v>81</v>
      </c>
    </row>
    <row r="23" spans="2:6" x14ac:dyDescent="0.3">
      <c r="B23" s="8">
        <v>45444.421052631573</v>
      </c>
      <c r="C23" s="9" t="s">
        <v>11</v>
      </c>
      <c r="D23" s="9" t="s">
        <v>14</v>
      </c>
      <c r="E23" s="9">
        <v>53</v>
      </c>
      <c r="F23" s="9">
        <v>45</v>
      </c>
    </row>
    <row r="24" spans="2:6" x14ac:dyDescent="0.3">
      <c r="B24" s="8">
        <v>45453.947368421039</v>
      </c>
      <c r="C24" s="9" t="s">
        <v>11</v>
      </c>
      <c r="D24" s="9" t="s">
        <v>15</v>
      </c>
      <c r="E24" s="9">
        <v>398</v>
      </c>
      <c r="F24" s="9">
        <v>33</v>
      </c>
    </row>
    <row r="25" spans="2:6" x14ac:dyDescent="0.3">
      <c r="B25" s="8">
        <v>45463.473684210519</v>
      </c>
      <c r="C25" s="9" t="s">
        <v>17</v>
      </c>
      <c r="D25" s="9" t="s">
        <v>14</v>
      </c>
      <c r="E25" s="9">
        <v>347</v>
      </c>
      <c r="F25" s="9">
        <v>35</v>
      </c>
    </row>
    <row r="26" spans="2:6" x14ac:dyDescent="0.3">
      <c r="B26" s="8">
        <v>45473</v>
      </c>
      <c r="C26" s="9" t="s">
        <v>13</v>
      </c>
      <c r="D26" s="9" t="s">
        <v>15</v>
      </c>
      <c r="E26" s="9">
        <v>319</v>
      </c>
      <c r="F26" s="9">
        <v>45</v>
      </c>
    </row>
  </sheetData>
  <mergeCells count="1">
    <mergeCell ref="B2:L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Q-1</vt:lpstr>
      <vt:lpstr>Q-2</vt:lpstr>
      <vt:lpstr>Q-3</vt:lpstr>
      <vt:lpstr>Q-4</vt:lpstr>
      <vt:lpstr>Q-5</vt:lpstr>
      <vt:lpstr>Q-6</vt:lpstr>
      <vt:lpstr>Q-7</vt:lpstr>
      <vt:lpstr>Q-8</vt:lpstr>
      <vt:lpstr>Q-9</vt:lpstr>
      <vt:lpstr>Q-10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pradeepta sahoo</dc:creator>
  <cp:lastModifiedBy>Subhadeep koner</cp:lastModifiedBy>
  <dcterms:created xsi:type="dcterms:W3CDTF">2026-01-08T13:51:03Z</dcterms:created>
  <dcterms:modified xsi:type="dcterms:W3CDTF">2026-01-21T04:25:54Z</dcterms:modified>
</cp:coreProperties>
</file>