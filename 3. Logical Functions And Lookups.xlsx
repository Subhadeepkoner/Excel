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B7DCC2A6C24415/Documents/"/>
    </mc:Choice>
  </mc:AlternateContent>
  <xr:revisionPtr revIDLastSave="1" documentId="8_{81CB7A4D-4293-4175-9F83-AED85A0724E1}" xr6:coauthVersionLast="47" xr6:coauthVersionMax="47" xr10:uidLastSave="{5B125AD1-7ADA-4B79-8B0A-D51790D9FBBA}"/>
  <bookViews>
    <workbookView xWindow="2508" yWindow="0" windowWidth="17280" windowHeight="8880" xr2:uid="{3D1510CA-9A9E-4E83-BD79-A41194897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" l="1"/>
  <c r="I15" i="1"/>
  <c r="I16" i="1"/>
  <c r="I17" i="1"/>
  <c r="I13" i="1"/>
  <c r="H70" i="1"/>
  <c r="H62" i="1"/>
  <c r="I55" i="1"/>
  <c r="I56" i="1"/>
  <c r="I57" i="1"/>
  <c r="I39" i="1"/>
  <c r="H34" i="1"/>
  <c r="H33" i="1"/>
  <c r="H32" i="1"/>
  <c r="H31" i="1"/>
  <c r="H30" i="1"/>
  <c r="I22" i="1"/>
  <c r="I23" i="1"/>
  <c r="I24" i="1"/>
  <c r="I25" i="1"/>
</calcChain>
</file>

<file path=xl/sharedStrings.xml><?xml version="1.0" encoding="utf-8"?>
<sst xmlns="http://schemas.openxmlformats.org/spreadsheetml/2006/main" count="86" uniqueCount="66">
  <si>
    <t>ASSIGNMENT :Logical Functions &amp; Lookup</t>
  </si>
  <si>
    <t>QUESTIONS AND ANSWERS ARE BELOW :</t>
  </si>
  <si>
    <t>1. write a formula to check if the marks in cell B2 are greater than or equal to 40. If yes, return "PASS" , otherwise "FAIL"</t>
  </si>
  <si>
    <t>Ans:</t>
  </si>
  <si>
    <t>Student name</t>
  </si>
  <si>
    <t>marks</t>
  </si>
  <si>
    <t>riya</t>
  </si>
  <si>
    <t>siya</t>
  </si>
  <si>
    <t>raju</t>
  </si>
  <si>
    <t>rahul</t>
  </si>
  <si>
    <t>ram</t>
  </si>
  <si>
    <t>=IF(F14&gt;=40,"pass", "fail")</t>
  </si>
  <si>
    <t>2.  company gives a bonus if sales are above 40,000 and attendance is greater than or equal to 90%. Write a
formula to calculate whether the employee will get a bonus or not .</t>
  </si>
  <si>
    <t>Employee</t>
  </si>
  <si>
    <t xml:space="preserve"> sales</t>
  </si>
  <si>
    <t>attandence</t>
  </si>
  <si>
    <t>arjun</t>
  </si>
  <si>
    <t>simran</t>
  </si>
  <si>
    <t>rohit</t>
  </si>
  <si>
    <t>anjali</t>
  </si>
  <si>
    <t>ans:</t>
  </si>
  <si>
    <t>=IF(AND(F22&gt;40000, G22&gt;=90), "bonus", "no bonus")</t>
  </si>
  <si>
    <t>3. write a nested formula Ifformula: if marksin B2 are &gt;=90 :"A", &gt;=75:"B", &gt;=50: "C", otherwise "fail"</t>
  </si>
  <si>
    <t>student name</t>
  </si>
  <si>
    <t>raj</t>
  </si>
  <si>
    <t xml:space="preserve">neha </t>
  </si>
  <si>
    <t>vivek</t>
  </si>
  <si>
    <t>rani</t>
  </si>
  <si>
    <t>shena</t>
  </si>
  <si>
    <t>=IF(F30&gt;=90,"a",IF(F30&gt;=75,"b",IF(F30&gt;=50,"c","fail")))</t>
  </si>
  <si>
    <t>4. find the Department of Employee ID = E103. Also explain which LOOKUP function is used and why?</t>
  </si>
  <si>
    <t>empid</t>
  </si>
  <si>
    <t>e101</t>
  </si>
  <si>
    <t>e102</t>
  </si>
  <si>
    <t>e103</t>
  </si>
  <si>
    <t>e104</t>
  </si>
  <si>
    <t>name</t>
  </si>
  <si>
    <t>roshni</t>
  </si>
  <si>
    <t>sejal</t>
  </si>
  <si>
    <t>department</t>
  </si>
  <si>
    <t>it</t>
  </si>
  <si>
    <t>hr</t>
  </si>
  <si>
    <t>finance</t>
  </si>
  <si>
    <t>sales</t>
  </si>
  <si>
    <t>=VLOOKUP("e103",E39:G42, 3, FALSE)</t>
  </si>
  <si>
    <t>5. If a salesperson achieves sales of ₹45,000, use the VLOOKUP function to determine the commission rate Applicable
applicable.</t>
  </si>
  <si>
    <t>sales amount</t>
  </si>
  <si>
    <t>commission rate</t>
  </si>
  <si>
    <t>=VLOOKUP(45000,E47:F50, 2, TRUE)</t>
  </si>
  <si>
    <t>6. Write an IF function to check whether an employee has Exceeded their allowed leave balance.
If Leaves Taken &gt; Allowed Leaves, display "Exceeded".
Otherwise, display "OK"</t>
  </si>
  <si>
    <t>emp name</t>
  </si>
  <si>
    <t>leaves taken</t>
  </si>
  <si>
    <t>leaves allowed</t>
  </si>
  <si>
    <t>alex</t>
  </si>
  <si>
    <t>bob</t>
  </si>
  <si>
    <t>anna</t>
  </si>
  <si>
    <t>=IF(F55&gt;G55,"exceeded", "ok")</t>
  </si>
  <si>
    <t>7. find the salary of EmpID = E105 using INDEX-MATCH Function.</t>
  </si>
  <si>
    <t>salary</t>
  </si>
  <si>
    <t>e105</t>
  </si>
  <si>
    <t>e106</t>
  </si>
  <si>
    <t>=INDEX(F62:F65,MATCH("e105",E62:E65,0))</t>
  </si>
  <si>
    <t>8. use the XLOOKUP function to find the Department of the employee with Emp ID = E303</t>
  </si>
  <si>
    <t>e303</t>
  </si>
  <si>
    <t>e301</t>
  </si>
  <si>
    <t>=XLOOKUP("e303",E70:E73,F70:F73)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</si>
</sst>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4" borderId="0" xfId="0" quotePrefix="1" applyFill="1"/>
    <xf numFmtId="0" fontId="0" fillId="4" borderId="0" xfId="0" applyFill="1"/>
    <xf numFmtId="9" fontId="0" fillId="0" borderId="0" xfId="0" applyNumberFormat="1"/>
    <xf numFmtId="0" fontId="0" fillId="4" borderId="0" xfId="0" quotePrefix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FF9B-F66B-4271-AE53-192B53A0D0F6}">
  <dimension ref="E4:O73"/>
  <sheetViews>
    <sheetView tabSelected="1" topLeftCell="A53" zoomScale="107" zoomScaleNormal="115" workbookViewId="0">
      <selection activeCell="F69" sqref="F69"/>
    </sheetView>
  </sheetViews>
  <sheetFormatPr defaultRowHeight="14.4" x14ac:dyDescent="0.3"/>
  <cols>
    <col min="5" max="5" width="12.109375" customWidth="1"/>
    <col min="6" max="7" width="14.77734375" customWidth="1"/>
  </cols>
  <sheetData>
    <row r="4" spans="5:12" ht="21" customHeight="1" x14ac:dyDescent="0.3">
      <c r="E4" s="6" t="s">
        <v>0</v>
      </c>
      <c r="F4" s="6"/>
      <c r="G4" s="6"/>
      <c r="H4" s="6"/>
      <c r="I4" s="6"/>
      <c r="J4" s="6"/>
    </row>
    <row r="5" spans="5:12" x14ac:dyDescent="0.3">
      <c r="E5" s="6"/>
      <c r="F5" s="6"/>
      <c r="G5" s="6"/>
      <c r="H5" s="6"/>
      <c r="I5" s="6"/>
      <c r="J5" s="6"/>
    </row>
    <row r="7" spans="5:12" x14ac:dyDescent="0.3">
      <c r="E7" s="7" t="s">
        <v>1</v>
      </c>
      <c r="F7" s="7"/>
      <c r="G7" s="7"/>
      <c r="H7" s="7"/>
      <c r="I7" s="7"/>
      <c r="J7" s="7"/>
    </row>
    <row r="10" spans="5:12" x14ac:dyDescent="0.3">
      <c r="E10" t="s">
        <v>2</v>
      </c>
    </row>
    <row r="12" spans="5:12" x14ac:dyDescent="0.3">
      <c r="E12" t="s">
        <v>4</v>
      </c>
      <c r="F12" s="1" t="s">
        <v>5</v>
      </c>
      <c r="I12" t="s">
        <v>3</v>
      </c>
      <c r="J12" s="2" t="s">
        <v>11</v>
      </c>
      <c r="K12" s="3"/>
      <c r="L12" s="3"/>
    </row>
    <row r="13" spans="5:12" x14ac:dyDescent="0.3">
      <c r="E13" t="s">
        <v>6</v>
      </c>
      <c r="F13">
        <v>45</v>
      </c>
      <c r="I13" t="str">
        <f>IF($F13&gt;=40,"pass", "fail")</f>
        <v>pass</v>
      </c>
    </row>
    <row r="14" spans="5:12" x14ac:dyDescent="0.3">
      <c r="E14" t="s">
        <v>7</v>
      </c>
      <c r="F14">
        <v>72</v>
      </c>
      <c r="I14" t="str">
        <f t="shared" ref="I14:I17" si="0">IF($F14&gt;=40,"pass", "fail")</f>
        <v>pass</v>
      </c>
    </row>
    <row r="15" spans="5:12" x14ac:dyDescent="0.3">
      <c r="E15" t="s">
        <v>8</v>
      </c>
      <c r="F15">
        <v>55</v>
      </c>
      <c r="I15" t="str">
        <f t="shared" si="0"/>
        <v>pass</v>
      </c>
    </row>
    <row r="16" spans="5:12" x14ac:dyDescent="0.3">
      <c r="E16" t="s">
        <v>9</v>
      </c>
      <c r="F16">
        <v>80</v>
      </c>
      <c r="I16" t="str">
        <f t="shared" si="0"/>
        <v>pass</v>
      </c>
    </row>
    <row r="17" spans="5:15" x14ac:dyDescent="0.3">
      <c r="E17" t="s">
        <v>10</v>
      </c>
      <c r="F17">
        <v>30</v>
      </c>
      <c r="I17" t="str">
        <f t="shared" si="0"/>
        <v>fail</v>
      </c>
    </row>
    <row r="19" spans="5:15" x14ac:dyDescent="0.3">
      <c r="E19" t="s">
        <v>12</v>
      </c>
    </row>
    <row r="21" spans="5:15" x14ac:dyDescent="0.3">
      <c r="E21" t="s">
        <v>13</v>
      </c>
      <c r="F21" t="s">
        <v>14</v>
      </c>
      <c r="G21" t="s">
        <v>15</v>
      </c>
      <c r="I21" t="s">
        <v>20</v>
      </c>
      <c r="J21" s="5" t="s">
        <v>21</v>
      </c>
      <c r="K21" s="5"/>
      <c r="L21" s="5"/>
      <c r="M21" s="5"/>
      <c r="N21" s="5"/>
      <c r="O21" s="5"/>
    </row>
    <row r="22" spans="5:15" x14ac:dyDescent="0.3">
      <c r="E22" t="s">
        <v>16</v>
      </c>
      <c r="F22">
        <v>55000</v>
      </c>
      <c r="G22">
        <v>95</v>
      </c>
      <c r="I22" t="str">
        <f>IF(AND(F22&gt;40000, G22&gt;=90), "bonus", "no bonus")</f>
        <v>bonus</v>
      </c>
    </row>
    <row r="23" spans="5:15" x14ac:dyDescent="0.3">
      <c r="E23" t="s">
        <v>17</v>
      </c>
      <c r="F23">
        <v>65000</v>
      </c>
      <c r="G23">
        <v>85</v>
      </c>
      <c r="I23" t="str">
        <f t="shared" ref="I23:I25" si="1">IF(AND(F23&gt;40000, G23&gt;=90), "bonus", "no bonus")</f>
        <v>no bonus</v>
      </c>
    </row>
    <row r="24" spans="5:15" x14ac:dyDescent="0.3">
      <c r="E24" t="s">
        <v>18</v>
      </c>
      <c r="F24">
        <v>30000</v>
      </c>
      <c r="G24">
        <v>90</v>
      </c>
      <c r="I24" t="str">
        <f t="shared" si="1"/>
        <v>no bonus</v>
      </c>
    </row>
    <row r="25" spans="5:15" x14ac:dyDescent="0.3">
      <c r="E25" t="s">
        <v>19</v>
      </c>
      <c r="F25">
        <v>25000</v>
      </c>
      <c r="G25">
        <v>65</v>
      </c>
      <c r="I25" t="str">
        <f t="shared" si="1"/>
        <v>no bonus</v>
      </c>
    </row>
    <row r="27" spans="5:15" x14ac:dyDescent="0.3">
      <c r="E27" t="s">
        <v>22</v>
      </c>
    </row>
    <row r="29" spans="5:15" x14ac:dyDescent="0.3">
      <c r="E29" t="s">
        <v>23</v>
      </c>
      <c r="F29" t="s">
        <v>5</v>
      </c>
      <c r="H29" t="s">
        <v>20</v>
      </c>
      <c r="I29" s="5" t="s">
        <v>29</v>
      </c>
      <c r="J29" s="5"/>
      <c r="K29" s="5"/>
      <c r="L29" s="5"/>
      <c r="M29" s="5"/>
      <c r="N29" s="5"/>
    </row>
    <row r="30" spans="5:15" x14ac:dyDescent="0.3">
      <c r="E30" t="s">
        <v>24</v>
      </c>
      <c r="F30">
        <v>85</v>
      </c>
      <c r="H30" t="str">
        <f>IF(F30&gt;=90,"a",IF(F30&gt;=75,"b",IF(F30&gt;=50,"c","fail")))</f>
        <v>b</v>
      </c>
    </row>
    <row r="31" spans="5:15" x14ac:dyDescent="0.3">
      <c r="E31" t="s">
        <v>25</v>
      </c>
      <c r="F31">
        <v>96</v>
      </c>
      <c r="H31" t="str">
        <f t="shared" ref="H31:H34" si="2">IF(F31&gt;=90,"a",IF(F31&gt;=75,"b",IF(F31&gt;=50,"c","fail")))</f>
        <v>a</v>
      </c>
    </row>
    <row r="32" spans="5:15" x14ac:dyDescent="0.3">
      <c r="E32" t="s">
        <v>26</v>
      </c>
      <c r="F32">
        <v>57</v>
      </c>
      <c r="H32" t="str">
        <f t="shared" si="2"/>
        <v>c</v>
      </c>
    </row>
    <row r="33" spans="5:13" x14ac:dyDescent="0.3">
      <c r="E33" t="s">
        <v>27</v>
      </c>
      <c r="F33">
        <v>92</v>
      </c>
      <c r="H33" t="str">
        <f t="shared" si="2"/>
        <v>a</v>
      </c>
    </row>
    <row r="34" spans="5:13" x14ac:dyDescent="0.3">
      <c r="E34" t="s">
        <v>28</v>
      </c>
      <c r="F34">
        <v>75</v>
      </c>
      <c r="H34" t="str">
        <f t="shared" si="2"/>
        <v>b</v>
      </c>
    </row>
    <row r="36" spans="5:13" x14ac:dyDescent="0.3">
      <c r="E36" t="s">
        <v>30</v>
      </c>
    </row>
    <row r="38" spans="5:13" x14ac:dyDescent="0.3">
      <c r="E38" t="s">
        <v>31</v>
      </c>
      <c r="F38" t="s">
        <v>36</v>
      </c>
      <c r="G38" t="s">
        <v>39</v>
      </c>
      <c r="I38" t="s">
        <v>20</v>
      </c>
      <c r="J38" s="5" t="s">
        <v>44</v>
      </c>
      <c r="K38" s="5"/>
      <c r="L38" s="5"/>
      <c r="M38" s="5"/>
    </row>
    <row r="39" spans="5:13" x14ac:dyDescent="0.3">
      <c r="E39" t="s">
        <v>32</v>
      </c>
      <c r="F39" t="s">
        <v>8</v>
      </c>
      <c r="G39" t="s">
        <v>40</v>
      </c>
      <c r="I39" t="str">
        <f>VLOOKUP("e103",E39:G42, 3, FALSE)</f>
        <v>finance</v>
      </c>
    </row>
    <row r="40" spans="5:13" x14ac:dyDescent="0.3">
      <c r="E40" t="s">
        <v>33</v>
      </c>
      <c r="F40" t="s">
        <v>6</v>
      </c>
      <c r="G40" t="s">
        <v>41</v>
      </c>
    </row>
    <row r="41" spans="5:13" x14ac:dyDescent="0.3">
      <c r="E41" t="s">
        <v>34</v>
      </c>
      <c r="F41" t="s">
        <v>37</v>
      </c>
      <c r="G41" t="s">
        <v>42</v>
      </c>
    </row>
    <row r="42" spans="5:13" x14ac:dyDescent="0.3">
      <c r="E42" t="s">
        <v>35</v>
      </c>
      <c r="F42" t="s">
        <v>38</v>
      </c>
      <c r="G42" t="s">
        <v>43</v>
      </c>
    </row>
    <row r="44" spans="5:13" x14ac:dyDescent="0.3">
      <c r="E44" t="s">
        <v>45</v>
      </c>
    </row>
    <row r="46" spans="5:13" x14ac:dyDescent="0.3">
      <c r="E46" t="s">
        <v>46</v>
      </c>
      <c r="F46" t="s">
        <v>47</v>
      </c>
      <c r="H46" t="s">
        <v>20</v>
      </c>
      <c r="I46" s="5" t="s">
        <v>48</v>
      </c>
      <c r="J46" s="5"/>
      <c r="K46" s="5"/>
      <c r="L46" s="5"/>
      <c r="M46" s="5"/>
    </row>
    <row r="47" spans="5:13" x14ac:dyDescent="0.3">
      <c r="E47">
        <v>0</v>
      </c>
      <c r="F47" s="4">
        <v>0.05</v>
      </c>
      <c r="H47" s="4">
        <v>0.1</v>
      </c>
    </row>
    <row r="48" spans="5:13" x14ac:dyDescent="0.3">
      <c r="E48">
        <v>20000</v>
      </c>
      <c r="F48" s="4">
        <v>0.1</v>
      </c>
    </row>
    <row r="49" spans="5:13" x14ac:dyDescent="0.3">
      <c r="E49">
        <v>50000</v>
      </c>
      <c r="F49" s="4">
        <v>0.15</v>
      </c>
    </row>
    <row r="50" spans="5:13" x14ac:dyDescent="0.3">
      <c r="E50">
        <v>80000</v>
      </c>
      <c r="F50" s="4">
        <v>0.2</v>
      </c>
    </row>
    <row r="52" spans="5:13" x14ac:dyDescent="0.3">
      <c r="E52" t="s">
        <v>49</v>
      </c>
    </row>
    <row r="54" spans="5:13" x14ac:dyDescent="0.3">
      <c r="E54" t="s">
        <v>50</v>
      </c>
      <c r="F54" t="s">
        <v>51</v>
      </c>
      <c r="G54" t="s">
        <v>52</v>
      </c>
      <c r="I54" t="s">
        <v>20</v>
      </c>
      <c r="J54" s="5" t="s">
        <v>56</v>
      </c>
      <c r="K54" s="5"/>
      <c r="L54" s="5"/>
    </row>
    <row r="55" spans="5:13" x14ac:dyDescent="0.3">
      <c r="E55" t="s">
        <v>53</v>
      </c>
      <c r="F55">
        <v>10</v>
      </c>
      <c r="G55">
        <v>12</v>
      </c>
      <c r="I55" t="str">
        <f>IF(F55&gt;G55,"exceeded", "ok")</f>
        <v>ok</v>
      </c>
    </row>
    <row r="56" spans="5:13" x14ac:dyDescent="0.3">
      <c r="E56" t="s">
        <v>54</v>
      </c>
      <c r="F56">
        <v>10</v>
      </c>
      <c r="G56">
        <v>15</v>
      </c>
      <c r="I56" t="str">
        <f t="shared" ref="I56:I57" si="3">IF(F56&gt;G56,"exceeded", "ok")</f>
        <v>ok</v>
      </c>
    </row>
    <row r="57" spans="5:13" x14ac:dyDescent="0.3">
      <c r="E57" t="s">
        <v>55</v>
      </c>
      <c r="F57">
        <v>8</v>
      </c>
      <c r="G57">
        <v>12</v>
      </c>
      <c r="I57" t="str">
        <f t="shared" si="3"/>
        <v>ok</v>
      </c>
    </row>
    <row r="59" spans="5:13" x14ac:dyDescent="0.3">
      <c r="E59" t="s">
        <v>57</v>
      </c>
    </row>
    <row r="61" spans="5:13" x14ac:dyDescent="0.3">
      <c r="E61" t="s">
        <v>31</v>
      </c>
      <c r="F61" t="s">
        <v>58</v>
      </c>
      <c r="H61" t="s">
        <v>20</v>
      </c>
      <c r="I61" s="5" t="s">
        <v>61</v>
      </c>
      <c r="J61" s="5"/>
      <c r="K61" s="5"/>
      <c r="L61" s="5"/>
      <c r="M61" s="5"/>
    </row>
    <row r="62" spans="5:13" x14ac:dyDescent="0.3">
      <c r="E62" t="s">
        <v>35</v>
      </c>
      <c r="F62">
        <v>55000</v>
      </c>
      <c r="H62">
        <f>INDEX(F62:F65,MATCH("e105",E62:E65,0))</f>
        <v>72000</v>
      </c>
    </row>
    <row r="63" spans="5:13" x14ac:dyDescent="0.3">
      <c r="E63" t="s">
        <v>59</v>
      </c>
      <c r="F63">
        <v>72000</v>
      </c>
    </row>
    <row r="64" spans="5:13" x14ac:dyDescent="0.3">
      <c r="E64" t="s">
        <v>60</v>
      </c>
      <c r="F64">
        <v>62000</v>
      </c>
    </row>
    <row r="65" spans="5:12" x14ac:dyDescent="0.3">
      <c r="E65" t="s">
        <v>33</v>
      </c>
      <c r="F65">
        <v>41000</v>
      </c>
    </row>
    <row r="67" spans="5:12" x14ac:dyDescent="0.3">
      <c r="E67" t="s">
        <v>62</v>
      </c>
    </row>
    <row r="69" spans="5:12" x14ac:dyDescent="0.3">
      <c r="E69" t="s">
        <v>31</v>
      </c>
      <c r="F69" t="s">
        <v>39</v>
      </c>
      <c r="H69" t="s">
        <v>20</v>
      </c>
      <c r="I69" s="5" t="s">
        <v>65</v>
      </c>
      <c r="J69" s="5"/>
      <c r="K69" s="5"/>
      <c r="L69" s="5"/>
    </row>
    <row r="70" spans="5:12" x14ac:dyDescent="0.3">
      <c r="E70" t="s">
        <v>32</v>
      </c>
      <c r="F70" t="s">
        <v>41</v>
      </c>
      <c r="H70" t="str">
        <f>_xlfn.XLOOKUP("e303",E70:E73,F70:F73)</f>
        <v>it</v>
      </c>
    </row>
    <row r="71" spans="5:12" x14ac:dyDescent="0.3">
      <c r="E71" t="s">
        <v>63</v>
      </c>
      <c r="F71" t="s">
        <v>40</v>
      </c>
    </row>
    <row r="72" spans="5:12" x14ac:dyDescent="0.3">
      <c r="E72" t="s">
        <v>60</v>
      </c>
      <c r="F72" t="s">
        <v>43</v>
      </c>
    </row>
    <row r="73" spans="5:12" x14ac:dyDescent="0.3">
      <c r="E73" t="s">
        <v>64</v>
      </c>
      <c r="F73" t="s">
        <v>42</v>
      </c>
    </row>
  </sheetData>
  <mergeCells count="9">
    <mergeCell ref="I69:L69"/>
    <mergeCell ref="E4:J5"/>
    <mergeCell ref="E7:J7"/>
    <mergeCell ref="J21:O21"/>
    <mergeCell ref="I29:N29"/>
    <mergeCell ref="J38:M38"/>
    <mergeCell ref="I46:M46"/>
    <mergeCell ref="J54:L54"/>
    <mergeCell ref="I61:M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koner</dc:creator>
  <cp:lastModifiedBy>Subhadeep koner</cp:lastModifiedBy>
  <dcterms:created xsi:type="dcterms:W3CDTF">2025-12-15T16:51:51Z</dcterms:created>
  <dcterms:modified xsi:type="dcterms:W3CDTF">2026-01-20T17:14:31Z</dcterms:modified>
</cp:coreProperties>
</file>